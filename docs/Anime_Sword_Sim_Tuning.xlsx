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Enemies" sheetId="3" state="visible" r:id="rId5"/>
    <sheet name="Rebirth" sheetId="4" state="visible" r:id="rId6"/>
    <sheet name="Island Pacing" sheetId="5" state="visible" r:id="rId7"/>
    <sheet name="Egg Odds" sheetId="6" state="visible" r:id="rId8"/>
    <sheet name="Traits" sheetId="7" state="visible" r:id="rId9"/>
    <sheet name="Levels" sheetId="8" state="visible" r:id="rId10"/>
  </sheets>
  <definedNames>
    <definedName function="false" hidden="false" name="ARRIVAL_TTK_MAX" vbProcedure="false">Inputs!$B$35</definedName>
    <definedName function="false" hidden="false" name="BASE_EPC" vbProcedure="false">Inputs!$B$12</definedName>
    <definedName function="false" hidden="false" name="COIN_BASE" vbProcedure="false">Inputs!$B$25</definedName>
    <definedName function="false" hidden="false" name="COIN_GROWTH" vbProcedure="false">Inputs!$B$26</definedName>
    <definedName function="false" hidden="false" name="CPS" vbProcedure="false">Inputs!$B$13</definedName>
    <definedName function="false" hidden="false" name="CRIT_AVG" vbProcedure="false">Inputs!$B$40</definedName>
    <definedName function="false" hidden="false" name="CRIT_CHANCE" vbProcedure="false">Inputs!$B$9</definedName>
    <definedName function="false" hidden="false" name="CRIT_MULT" vbProcedure="false">Inputs!$B$10</definedName>
    <definedName function="false" hidden="false" name="DPE" vbProcedure="false">Inputs!$B$7</definedName>
    <definedName function="false" hidden="false" name="EGG_COST_BASE" vbProcedure="false">Inputs!$B$27</definedName>
    <definedName function="false" hidden="false" name="EGG_COST_GROWTH" vbProcedure="false">Inputs!$B$28</definedName>
    <definedName function="false" hidden="false" name="FARM_TIER" vbProcedure="false">Inputs!$B$32</definedName>
    <definedName function="false" hidden="false" name="HOURS_PER_DAY" vbProcedure="false">Inputs!$B$36</definedName>
    <definedName function="false" hidden="false" name="HP_BASE" vbProcedure="false">Inputs!$B$5</definedName>
    <definedName function="false" hidden="false" name="ISLAND_GROWTH" vbProcedure="false">Inputs!$B$6</definedName>
    <definedName function="false" hidden="false" name="KILL_OVERHEAD_S" vbProcedure="false">Inputs!$B$31</definedName>
    <definedName function="false" hidden="false" name="LEVEL_EXP_BASE" vbProcedure="false">Inputs!$B$38</definedName>
    <definedName function="false" hidden="false" name="LEVEL_EXP_EXP" vbProcedure="false">Inputs!$B$39</definedName>
    <definedName function="false" hidden="false" name="PET_BASE_BONUS" vbProcedure="false">Inputs!$B$16</definedName>
    <definedName function="false" hidden="false" name="PET_EXPONENT" vbProcedure="false">Inputs!$B$18</definedName>
    <definedName function="false" hidden="false" name="PET_GROWTH" vbProcedure="false">Inputs!$B$17</definedName>
    <definedName function="false" hidden="false" name="RARITY_FACTOR" vbProcedure="false">Inputs!$F$15:$F$21</definedName>
    <definedName function="false" hidden="false" name="RARITY_NAMES" vbProcedure="false">Inputs!$E$15:$E$21</definedName>
    <definedName function="false" hidden="false" name="REBIRTH_COST_BASE" vbProcedure="false">Inputs!$B$20</definedName>
    <definedName function="false" hidden="false" name="REBIRTH_COST_GROWTH" vbProcedure="false">Inputs!$B$21</definedName>
    <definedName function="false" hidden="false" name="REBIRTH_KICKER" vbProcedure="false">Inputs!$B$23</definedName>
    <definedName function="false" hidden="false" name="REBIRTH_STEP" vbProcedure="false">Inputs!$B$22</definedName>
    <definedName function="false" hidden="false" name="REB_COST" vbProcedure="false">Rebirth!$B$5:$B$35</definedName>
    <definedName function="false" hidden="false" name="REB_MULT" vbProcedure="false">Rebirth!$C$5:$C$35</definedName>
    <definedName function="false" hidden="false" name="REB_R" vbProcedure="false">Rebirth!$A$5:$A$35</definedName>
    <definedName function="false" hidden="false" name="START_ENERGY" vbProcedure="false">Inputs!$B$14</definedName>
    <definedName function="false" hidden="false" name="SWING_RATE" vbProcedure="false">Inputs!$B$8</definedName>
    <definedName function="false" hidden="false" name="TIER_COIN" vbProcedure="false">Inputs!$G$5:$G$10</definedName>
    <definedName function="false" hidden="false" name="TIER_EXP" vbProcedure="false">Inputs!$H$5:$H$10</definedName>
    <definedName function="false" hidden="false" name="TIER_HP" vbProcedure="false">Inputs!$F$5:$F$10</definedName>
    <definedName function="false" hidden="false" name="TIER_NAMES" vbProcedure="false">Inputs!$E$5:$E$10</definedName>
    <definedName function="false" hidden="false" name="TTK_BOSS_TARGET" vbProcedure="false">Inputs!$B$34</definedName>
    <definedName function="false" hidden="false" name="UNLOCK_COST_BASE" vbProcedure="false">Inputs!$B$29</definedName>
    <definedName function="false" hidden="false" name="UNLOCK_COST_GROWTH" vbProcedure="false">Inputs!$B$30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<sst xmlns="http://schemas.openxmlformats.org/spreadsheetml/2006/main" count="249" uniqueCount="198">
  <si>
    <t xml:space="preserve">Anime Sword Simulator — Tuning Sheet</t>
  </si>
  <si>
    <t xml:space="preserve">Starting values for the formulas in the GDD (Part A4–A11). Every number here is a seed to tune by playtesting, not a tested value.</t>
  </si>
  <si>
    <t xml:space="preserve">How to use</t>
  </si>
  <si>
    <t xml:space="preserve">1. Change values on the Inputs tab (blue text). Yellow cells are the key levers.</t>
  </si>
  <si>
    <t xml:space="preserve">2. Island Pacing is the main check: per-island hours to clear vs your target, and time-to-kill on arrival. Red flags = out of band.</t>
  </si>
  <si>
    <t xml:space="preserve">3. Island Pacing columns C–F (blue) describe the player you expect on each island: equip slots, pet rarity, rebirths, sword. Change those to test scenarios.</t>
  </si>
  <si>
    <t xml:space="preserve">4. Egg Odds: set Total Luck to see live, renormalized odds (this is what the in-game odds panel must show). Traits, Rebirth and Levels follow the same pattern.</t>
  </si>
  <si>
    <t xml:space="preserve">Color legend</t>
  </si>
  <si>
    <t xml:space="preserve">Blue text = input you can change · Black text = formula · Green text = pulled from another tab · Yellow fill = key lever</t>
  </si>
  <si>
    <t xml:space="preserve">Model assumptions</t>
  </si>
  <si>
    <t xml:space="preserve">• Energy is an accumulating stat. Clicks add Energy; Energy per click = base × pet mult × rebirth mult. Damage per hit = Energy × damage-per-energy × sword mult × average crit.</t>
  </si>
  <si>
    <t xml:space="preserve">• Pets boost Energy gain; swords boost damage. Pet bonuses add together (GDD decision 3).</t>
  </si>
  <si>
    <t xml:space="preserve">• 'Boss-ready' = the Energy that kills that island's boss in the boss TTK target. Training minutes are measured from 0 Energy (realistic right after a rebirth, otherwise an upper bound).</t>
  </si>
  <si>
    <t xml:space="preserve">• Arrival TTK uses the previous island's boss-ready Energy (assumes no rebirth reset in between).</t>
  </si>
  <si>
    <t xml:space="preserve">• Coin farming uses the Farm tier on Inputs, at the midpoint between arrival and boss-ready Energy, plus a respawn/walk overhead per kill.</t>
  </si>
  <si>
    <t xml:space="preserve">• Island hours = the longer of training-to-boss and farming-to-unlock (they run in parallel with Auto Train), plus the time to earn the rebirths that island expects.</t>
  </si>
  <si>
    <t xml:space="preserve">• Rebirth grind: each rebirth costs Energy that then resets, so it is time spent at the previous island's Energy rate. Rebirths are the main gate that turns islands into hours of play.</t>
  </si>
  <si>
    <t xml:space="preserve">• Island themes are original concepts (ninja village, cursed-spirit city): genre-inspired, with no characters, names, symbols or techniques from existing series.</t>
  </si>
  <si>
    <t xml:space="preserve">Inputs — tuning levers</t>
  </si>
  <si>
    <t xml:space="preserve">Lever</t>
  </si>
  <si>
    <t xml:space="preserve">Value</t>
  </si>
  <si>
    <t xml:space="preserve">What it does / source</t>
  </si>
  <si>
    <t xml:space="preserve">Tier table</t>
  </si>
  <si>
    <t xml:space="preserve">Combat</t>
  </si>
  <si>
    <t xml:space="preserve">Tier</t>
  </si>
  <si>
    <t xml:space="preserve">HP mult</t>
  </si>
  <si>
    <t xml:space="preserve">Coin mult</t>
  </si>
  <si>
    <t xml:space="preserve">EXP mult</t>
  </si>
  <si>
    <t xml:space="preserve">HP_BASE</t>
  </si>
  <si>
    <t xml:space="preserve">Very Easy HP on island 1 (from the reference screenshots: 5K / 75K / 1M).</t>
  </si>
  <si>
    <t xml:space="preserve">Very Easy</t>
  </si>
  <si>
    <t xml:space="preserve">ISLAND_GROWTH</t>
  </si>
  <si>
    <t xml:space="preserve">Enemy HP multiplier per island. GDD range 15–40.</t>
  </si>
  <si>
    <t xml:space="preserve">Easy</t>
  </si>
  <si>
    <t xml:space="preserve">DPE</t>
  </si>
  <si>
    <t xml:space="preserve">Damage per point of Energy (GDD A4).</t>
  </si>
  <si>
    <t xml:space="preserve">Medium</t>
  </si>
  <si>
    <t xml:space="preserve">SWING_RATE</t>
  </si>
  <si>
    <t xml:space="preserve">Sword hits per second while attacking.</t>
  </si>
  <si>
    <t xml:space="preserve">Hard</t>
  </si>
  <si>
    <t xml:space="preserve">CRIT_CHANCE</t>
  </si>
  <si>
    <t xml:space="preserve">Base crit chance.</t>
  </si>
  <si>
    <t xml:space="preserve">Very Hard</t>
  </si>
  <si>
    <t xml:space="preserve">CRIT_MULT</t>
  </si>
  <si>
    <t xml:space="preserve">Crit damage multiplier.</t>
  </si>
  <si>
    <t xml:space="preserve">Boss</t>
  </si>
  <si>
    <t xml:space="preserve">Energy</t>
  </si>
  <si>
    <t xml:space="preserve">HP mults match the screenshots: 5K Very Easy, 75K Medium, 1M Boss.</t>
  </si>
  <si>
    <t xml:space="preserve">BASE_EPC</t>
  </si>
  <si>
    <t xml:space="preserve">Energy per click before multipliers.</t>
  </si>
  <si>
    <t xml:space="preserve">CPS</t>
  </si>
  <si>
    <t xml:space="preserve">Clicks per second credited (manual ~6; free auto 3; auto pass 8 — GDD A10).</t>
  </si>
  <si>
    <t xml:space="preserve">Pet rarity factors</t>
  </si>
  <si>
    <t xml:space="preserve">START_ENERGY</t>
  </si>
  <si>
    <t xml:space="preserve">Energy a new player has when reaching island 1 enemies (after the tutorial).</t>
  </si>
  <si>
    <t xml:space="preserve">Rarity</t>
  </si>
  <si>
    <t xml:space="preserve">Pet factor</t>
  </si>
  <si>
    <t xml:space="preserve">Pets</t>
  </si>
  <si>
    <t xml:space="preserve">Common</t>
  </si>
  <si>
    <t xml:space="preserve">PET_BASE_BONUS</t>
  </si>
  <si>
    <t xml:space="preserve">Bonus per equipped island-1 pet at rarity factor 1.0 (added to pet multiplier).</t>
  </si>
  <si>
    <t xml:space="preserve">Uncommon</t>
  </si>
  <si>
    <t xml:space="preserve">PET_GROWTH</t>
  </si>
  <si>
    <t xml:space="preserve">Pet bonus growth per island = ISLAND_GROWTH^PET_EXPONENT (GDD suggests ~^0.8; 0.6 keeps islands getting slower).</t>
  </si>
  <si>
    <t xml:space="preserve">Rare</t>
  </si>
  <si>
    <t xml:space="preserve">PET_EXPONENT</t>
  </si>
  <si>
    <t xml:space="preserve">Exponent applied to ISLAND_GROWTH for pet growth.</t>
  </si>
  <si>
    <t xml:space="preserve">Epic</t>
  </si>
  <si>
    <t xml:space="preserve">Rebirth</t>
  </si>
  <si>
    <t xml:space="preserve">Legendary</t>
  </si>
  <si>
    <t xml:space="preserve">REBIRTH_COST_BASE</t>
  </si>
  <si>
    <t xml:space="preserve">Energy cost of the first rebirth. Rebirths are the main time gate between islands.</t>
  </si>
  <si>
    <t xml:space="preserve">Mythical</t>
  </si>
  <si>
    <t xml:space="preserve">REBIRTH_COST_GROWTH</t>
  </si>
  <si>
    <t xml:space="preserve">Cost multiplier per rebirth.</t>
  </si>
  <si>
    <t xml:space="preserve">Secret</t>
  </si>
  <si>
    <t xml:space="preserve">REBIRTH_STEP</t>
  </si>
  <si>
    <t xml:space="preserve">Multiplier gained per rebirth (Mult = 1 + step × r).</t>
  </si>
  <si>
    <t xml:space="preserve">Multiplies PET_BASE_BONUS for one equipped pet.</t>
  </si>
  <si>
    <t xml:space="preserve">REBIRTH_KICKER</t>
  </si>
  <si>
    <t xml:space="preserve">Extra × per 10 rebirths (late-game kicker).</t>
  </si>
  <si>
    <t xml:space="preserve">Economy</t>
  </si>
  <si>
    <t xml:space="preserve">COIN_BASE</t>
  </si>
  <si>
    <t xml:space="preserve">Coins from a Very Easy kill on island 1.</t>
  </si>
  <si>
    <t xml:space="preserve">COIN_GROWTH</t>
  </si>
  <si>
    <t xml:space="preserve">Coin reward multiplier per island.</t>
  </si>
  <si>
    <t xml:space="preserve">EGG_COST_BASE</t>
  </si>
  <si>
    <t xml:space="preserve">Island 1 egg cost in Coins (from the reference game).</t>
  </si>
  <si>
    <t xml:space="preserve">EGG_COST_GROWTH</t>
  </si>
  <si>
    <t xml:space="preserve">Egg cost multiplier per island.</t>
  </si>
  <si>
    <t xml:space="preserve">UNLOCK_COST_BASE</t>
  </si>
  <si>
    <t xml:space="preserve">Coins to unlock island 2 (island i+1 costs base × growth^(i−1)).</t>
  </si>
  <si>
    <t xml:space="preserve">UNLOCK_COST_GROWTH</t>
  </si>
  <si>
    <t xml:space="preserve">Unlock cost multiplier per island. Higher than COIN_GROWTH so each island takes longer to farm.</t>
  </si>
  <si>
    <t xml:space="preserve">KILL_OVERHEAD_S</t>
  </si>
  <si>
    <t xml:space="preserve">Seconds lost per kill to respawn/walk/targeting.</t>
  </si>
  <si>
    <t xml:space="preserve">FARM_TIER</t>
  </si>
  <si>
    <t xml:space="preserve">Enemy tier players farm for Coins.</t>
  </si>
  <si>
    <t xml:space="preserve">Targets</t>
  </si>
  <si>
    <t xml:space="preserve">TTK_BOSS_TARGET</t>
  </si>
  <si>
    <t xml:space="preserve">Seconds to solo the island boss when 'boss-ready' (GDD: 20–40 s).</t>
  </si>
  <si>
    <t xml:space="preserve">ARRIVAL_TTK_MAX</t>
  </si>
  <si>
    <t xml:space="preserve">Max acceptable Very Easy TTK when arriving on a new island (seconds).</t>
  </si>
  <si>
    <t xml:space="preserve">HOURS_PER_DAY</t>
  </si>
  <si>
    <t xml:space="preserve">Active play hours per day, used to convert hours into days.</t>
  </si>
  <si>
    <t xml:space="preserve">Levels</t>
  </si>
  <si>
    <t xml:space="preserve">LEVEL_EXP_BASE</t>
  </si>
  <si>
    <t xml:space="preserve">ExpToNext(L) = floor(base × L^exponent) (GDD A4).</t>
  </si>
  <si>
    <t xml:space="preserve">LEVEL_EXP_EXP</t>
  </si>
  <si>
    <t xml:space="preserve">Level curve exponent.</t>
  </si>
  <si>
    <t xml:space="preserve">CRIT_AVG</t>
  </si>
  <si>
    <t xml:space="preserve">Average damage multiplier from crits (derived).</t>
  </si>
  <si>
    <t xml:space="preserve">Enemy HP, Coins and EXP by island and tier</t>
  </si>
  <si>
    <t xml:space="preserve">HP = HP_BASE × ISLAND_GROWTH^(island−1) × tier HP mult. Coins and EXP scale the same way with their own mults.</t>
  </si>
  <si>
    <t xml:space="preserve">HP</t>
  </si>
  <si>
    <t xml:space="preserve">Island</t>
  </si>
  <si>
    <t xml:space="preserve">Coins per kill</t>
  </si>
  <si>
    <t xml:space="preserve">EXP per kill</t>
  </si>
  <si>
    <t xml:space="preserve">EXP base of 10 per Very Easy kill is a placeholder; tune with the Levels tab.</t>
  </si>
  <si>
    <t xml:space="preserve">Rebirth curve</t>
  </si>
  <si>
    <t xml:space="preserve">Cost(r) = REBIRTH_COST_BASE × REBIRTH_COST_GROWTH^r Energy · Mult(r) = (1 + REBIRTH_STEP × r) × REBIRTH_KICKER^INT(r/10)</t>
  </si>
  <si>
    <t xml:space="preserve">Rebirths owned (r)</t>
  </si>
  <si>
    <t xml:space="preserve">Energy cost of next rebirth</t>
  </si>
  <si>
    <t xml:space="preserve">Multiplier at r</t>
  </si>
  <si>
    <t xml:space="preserve">Multiplier gain from next</t>
  </si>
  <si>
    <t xml:space="preserve">Island pacing — does each island take the time you want?</t>
  </si>
  <si>
    <t xml:space="preserve">Blue columns describe the player you expect on that island. Everything else is computed. Red = outside target.</t>
  </si>
  <si>
    <t xml:space="preserve">Theme (original)</t>
  </si>
  <si>
    <t xml:space="preserve">Equip slots</t>
  </si>
  <si>
    <t xml:space="preserve">Typical equipped rarity</t>
  </si>
  <si>
    <t xml:space="preserve">Rebirths at arrival</t>
  </si>
  <si>
    <t xml:space="preserve">Sword damage mult</t>
  </si>
  <si>
    <t xml:space="preserve">Bonus per pet</t>
  </si>
  <si>
    <t xml:space="preserve">Pet multiplier</t>
  </si>
  <si>
    <t xml:space="preserve">Rebirth multiplier</t>
  </si>
  <si>
    <t xml:space="preserve">Energy per click</t>
  </si>
  <si>
    <t xml:space="preserve">Boss HP</t>
  </si>
  <si>
    <t xml:space="preserve">Boss-ready Energy</t>
  </si>
  <si>
    <t xml:space="preserve">Training min to boss-ready</t>
  </si>
  <si>
    <t xml:space="preserve">Arrival Energy</t>
  </si>
  <si>
    <t xml:space="preserve">Very Easy TTK on arrival (s)</t>
  </si>
  <si>
    <t xml:space="preserve">Arrival OK?</t>
  </si>
  <si>
    <t xml:space="preserve">Farm-tier TTK (s)</t>
  </si>
  <si>
    <t xml:space="preserve">Coins / min</t>
  </si>
  <si>
    <t xml:space="preserve">Egg cost</t>
  </si>
  <si>
    <t xml:space="preserve">Eggs / min</t>
  </si>
  <si>
    <t xml:space="preserve">Next island unlock cost</t>
  </si>
  <si>
    <t xml:space="preserve">Min to afford unlock</t>
  </si>
  <si>
    <t xml:space="preserve">Rebirth grind (min)</t>
  </si>
  <si>
    <t xml:space="preserve">Island hours</t>
  </si>
  <si>
    <t xml:space="preserve">Cumulative hours</t>
  </si>
  <si>
    <t xml:space="preserve">Days at HOURS_PER_DAY</t>
  </si>
  <si>
    <t xml:space="preserve">Target hours</t>
  </si>
  <si>
    <t xml:space="preserve">Pace check</t>
  </si>
  <si>
    <t xml:space="preserve">Ninja village</t>
  </si>
  <si>
    <t xml:space="preserve">Cursed-spirit city</t>
  </si>
  <si>
    <t xml:space="preserve">TBD</t>
  </si>
  <si>
    <t xml:space="preserve">Pace check: 'On pace' = island hours within ±30% of target. Island hours = longer of training and unlock farming, plus rebirth grind.</t>
  </si>
  <si>
    <t xml:space="preserve">Targets: island 1 is a ~15-minute hook; the grind starts on island 2. Hours are active play; Auto Train and offline income spread them across AFK time.</t>
  </si>
  <si>
    <t xml:space="preserve">Egg odds with luck and pity</t>
  </si>
  <si>
    <t xml:space="preserve">w' = weight × (1 + Luck × sensitivity); P = w' / Σw'. The in-game odds panel must show column F whenever any luck is active.</t>
  </si>
  <si>
    <t xml:space="preserve">Total Luck</t>
  </si>
  <si>
    <t xml:space="preserve">Sum of sources: potion +1.0, pass +0.5, server luck +1.0, friends +0.1 each, egg bonus luck.</t>
  </si>
  <si>
    <t xml:space="preserve">Opens to test (N)</t>
  </si>
  <si>
    <t xml:space="preserve">Pity threshold</t>
  </si>
  <si>
    <t xml:space="preserve">Legendary-or-better guaranteed on this open.</t>
  </si>
  <si>
    <t xml:space="preserve">Base weight</t>
  </si>
  <si>
    <t xml:space="preserve">Luck sensitivity</t>
  </si>
  <si>
    <t xml:space="preserve">Adjusted weight</t>
  </si>
  <si>
    <t xml:space="preserve">Base odds</t>
  </si>
  <si>
    <t xml:space="preserve">Odds with luck</t>
  </si>
  <si>
    <t xml:space="preserve">Expected opens to get one</t>
  </si>
  <si>
    <t xml:space="preserve">P(at least one in N)</t>
  </si>
  <si>
    <t xml:space="preserve">Total</t>
  </si>
  <si>
    <t xml:space="preserve">Sum check</t>
  </si>
  <si>
    <t xml:space="preserve">Base weights are the reference game's displayed odds with Common trimmed by 0.01 (they summed to 100.01%).</t>
  </si>
  <si>
    <t xml:space="preserve">Legendary-or-better per open</t>
  </si>
  <si>
    <t xml:space="preserve">P(pity fires in first cycle)</t>
  </si>
  <si>
    <t xml:space="preserve">Chance a player opens (threshold − 1) eggs with no Legendary+, so pity triggers.</t>
  </si>
  <si>
    <t xml:space="preserve">Expected opens per Legendary+ with pity</t>
  </si>
  <si>
    <t xml:space="preserve">Average opens between Legendary+ pulls when pity resets on any Legendary+.</t>
  </si>
  <si>
    <t xml:space="preserve">Trait reroll odds</t>
  </si>
  <si>
    <t xml:space="preserve">Odds per reroll from weights; expected rerolls and chance within N. Hard pity guarantees the top tier.</t>
  </si>
  <si>
    <t xml:space="preserve">Rerolls to test (N)</t>
  </si>
  <si>
    <t xml:space="preserve">Hard pity (rerolls)</t>
  </si>
  <si>
    <t xml:space="preserve">Anime Vanguards uses 1,500 for its 0.1% top trait.</t>
  </si>
  <si>
    <t xml:space="preserve">Weight</t>
  </si>
  <si>
    <t xml:space="preserve">Odds per reroll</t>
  </si>
  <si>
    <t xml:space="preserve">Expected rerolls</t>
  </si>
  <si>
    <t xml:space="preserve">P(within N)</t>
  </si>
  <si>
    <t xml:space="preserve">P(this tier or better)</t>
  </si>
  <si>
    <t xml:space="preserve">P(top tier before hard pity)</t>
  </si>
  <si>
    <t xml:space="preserve">Share of players who get the top tier by luck rather than pity.</t>
  </si>
  <si>
    <t xml:space="preserve">Level curve</t>
  </si>
  <si>
    <t xml:space="preserve">ExpToNext(L) = floor(LEVEL_EXP_BASE × L^LEVEL_EXP_EXP)</t>
  </si>
  <si>
    <t xml:space="preserve">Level</t>
  </si>
  <si>
    <t xml:space="preserve">EXP to next</t>
  </si>
  <si>
    <t xml:space="preserve">Cumulative EXP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</si>
</sst>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[&lt;1000000]#,##0;0.00E+00"/>
    <numFmt numFmtId="166" formatCode="#,##0"/>
    <numFmt numFmtId="167" formatCode="#,##0.0"/>
    <numFmt numFmtId="168" formatCode="0%"/>
    <numFmt numFmtId="169" formatCode="0.0#"/>
    <numFmt numFmtId="170" formatCode="0.00"/>
    <numFmt numFmtId="171" formatCode="0.000"/>
    <numFmt numFmtId="172" formatCode="0.00\x"/>
    <numFmt numFmtId="173" formatCode="0.0%"/>
    <numFmt numFmtId="174" formatCode="0"/>
    <numFmt numFmtId="175" formatCode="0.0\x"/>
    <numFmt numFmtId="176" formatCode="[&lt;1000]0.00;[&lt;1000000]#,##0;0.00E+00"/>
    <numFmt numFmtId="177" formatCode="0.0"/>
    <numFmt numFmtId="178" formatCode="0.0000"/>
    <numFmt numFmtId="179" formatCode="0.0000%"/>
    <numFmt numFmtId="180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Island hours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'Island Pacing'!X4</c:f>
              <c:strCache>
                <c:ptCount val="1"/>
                <c:pt idx="0">
                  <c:v>Island hours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'Island Pacing'!$A$5:$A$12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'Island Pacing'!$X$5:$X$12</c:f>
              <c:numCache>
                <c:formatCode>0.0</c:formatCode>
                <c:ptCount val="8"/>
                <c:pt idx="0">
                  <c:v>0.191110065851364</c:v>
                </c:pt>
                <c:pt idx="1">
                  <c:v>2.04812461841871</c:v>
                </c:pt>
                <c:pt idx="2">
                  <c:v>2.25136674016817</c:v>
                </c:pt>
                <c:pt idx="3">
                  <c:v>2.95884084965095</c:v>
                </c:pt>
                <c:pt idx="4">
                  <c:v>6.36454743793804</c:v>
                </c:pt>
                <c:pt idx="5">
                  <c:v>14.1611451949313</c:v>
                </c:pt>
                <c:pt idx="6">
                  <c:v>24.9436084830894</c:v>
                </c:pt>
                <c:pt idx="7">
                  <c:v>69.5715224316337</c:v>
                </c:pt>
              </c:numCache>
            </c:numRef>
          </c:val>
        </c:ser>
        <c:ser>
          <c:idx val="1"/>
          <c:order val="1"/>
          <c:tx>
            <c:strRef>
              <c:f>'Island Pacing'!AA4</c:f>
              <c:strCache>
                <c:ptCount val="1"/>
                <c:pt idx="0">
                  <c:v>Target hours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'Island Pacing'!$A$5:$A$12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'Island Pacing'!$AA$5:$AA$12</c:f>
              <c:numCache>
                <c:formatCode>0.0#</c:formatCode>
                <c:ptCount val="8"/>
                <c:pt idx="0">
                  <c:v>0.25</c:v>
                </c:pt>
                <c:pt idx="1">
                  <c:v>2</c:v>
                </c:pt>
                <c:pt idx="2">
                  <c:v>2.5</c:v>
                </c:pt>
                <c:pt idx="3">
                  <c:v>3.5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  <c:pt idx="7">
                  <c:v>60</c:v>
                </c:pt>
              </c:numCache>
            </c:numRef>
          </c:val>
        </c:ser>
        <c:gapWidth val="150"/>
        <c:overlap val="0"/>
        <c:axId val="88311637"/>
        <c:axId val="56241489"/>
      </c:barChart>
      <c:catAx>
        <c:axId val="883116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Island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41489"/>
        <c:crosses val="autoZero"/>
        <c:auto val="1"/>
        <c:lblAlgn val="ctr"/>
        <c:lblOffset val="100"/>
        <c:noMultiLvlLbl val="0"/>
      </c:catAx>
      <c:valAx>
        <c:axId val="562414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Active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#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116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160920</xdr:rowOff>
    </xdr:from>
    <xdr:to>
      <xdr:col>9</xdr:col>
      <xdr:colOff>206640</xdr:colOff>
      <xdr:row>30</xdr:row>
      <xdr:rowOff>182880</xdr:rowOff>
    </xdr:to>
    <xdr:graphicFrame>
      <xdr:nvGraphicFramePr>
        <xdr:cNvPr id="0" name="Chart 1"/>
        <xdr:cNvGraphicFramePr/>
      </xdr:nvGraphicFramePr>
      <xdr:xfrm>
        <a:off x="493560" y="32576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26.85" hidden="false" customHeight="false" outlineLevel="0" collapsed="false">
      <c r="A7" s="2" t="s">
        <v>5</v>
      </c>
    </row>
    <row r="8" customFormat="false" ht="26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26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26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26.85" hidden="false" customHeight="false" outlineLevel="0" collapsed="false">
      <c r="A18" s="2" t="s">
        <v>14</v>
      </c>
    </row>
    <row r="19" customFormat="false" ht="26.85" hidden="false" customHeight="false" outlineLevel="0" collapsed="false">
      <c r="A19" s="2" t="s">
        <v>15</v>
      </c>
    </row>
    <row r="20" customFormat="false" ht="26.85" hidden="false" customHeight="false" outlineLevel="0" collapsed="false">
      <c r="A20" s="2" t="s">
        <v>16</v>
      </c>
    </row>
    <row r="21" customFormat="false" ht="26.8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62"/>
    <col collapsed="false" customWidth="true" hidden="false" outlineLevel="0" max="4" min="4" style="0" width="4"/>
    <col collapsed="false" customWidth="true" hidden="false" outlineLevel="0" max="7" min="5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4" t="s">
        <v>18</v>
      </c>
    </row>
    <row r="3" customFormat="false" ht="31.5" hidden="false" customHeight="true" outlineLevel="0" collapsed="false">
      <c r="A3" s="5" t="s">
        <v>19</v>
      </c>
      <c r="B3" s="5" t="s">
        <v>20</v>
      </c>
      <c r="C3" s="5" t="s">
        <v>21</v>
      </c>
      <c r="E3" s="6" t="s">
        <v>22</v>
      </c>
    </row>
    <row r="4" customFormat="false" ht="31.5" hidden="false" customHeight="true" outlineLevel="0" collapsed="false">
      <c r="A4" s="7" t="s">
        <v>23</v>
      </c>
      <c r="B4" s="8"/>
      <c r="C4" s="8"/>
      <c r="E4" s="5" t="s">
        <v>24</v>
      </c>
      <c r="F4" s="5" t="s">
        <v>25</v>
      </c>
      <c r="G4" s="5" t="s">
        <v>26</v>
      </c>
      <c r="H4" s="5" t="s">
        <v>27</v>
      </c>
    </row>
    <row r="5" customFormat="false" ht="26.85" hidden="false" customHeight="false" outlineLevel="0" collapsed="false">
      <c r="A5" s="9" t="s">
        <v>28</v>
      </c>
      <c r="B5" s="10" t="n">
        <v>5000</v>
      </c>
      <c r="C5" s="11" t="s">
        <v>29</v>
      </c>
      <c r="E5" s="9" t="s">
        <v>30</v>
      </c>
      <c r="F5" s="12" t="n">
        <v>1</v>
      </c>
      <c r="G5" s="13" t="n">
        <v>1</v>
      </c>
      <c r="H5" s="12" t="n">
        <v>1</v>
      </c>
    </row>
    <row r="6" customFormat="false" ht="15" hidden="false" customHeight="false" outlineLevel="0" collapsed="false">
      <c r="A6" s="9" t="s">
        <v>31</v>
      </c>
      <c r="B6" s="14" t="n">
        <v>25</v>
      </c>
      <c r="C6" s="11" t="s">
        <v>32</v>
      </c>
      <c r="E6" s="9" t="s">
        <v>33</v>
      </c>
      <c r="F6" s="12" t="n">
        <v>3</v>
      </c>
      <c r="G6" s="13" t="n">
        <v>2.5</v>
      </c>
      <c r="H6" s="12" t="n">
        <v>2</v>
      </c>
    </row>
    <row r="7" customFormat="false" ht="15" hidden="false" customHeight="false" outlineLevel="0" collapsed="false">
      <c r="A7" s="9" t="s">
        <v>34</v>
      </c>
      <c r="B7" s="12" t="n">
        <v>2</v>
      </c>
      <c r="C7" s="11" t="s">
        <v>35</v>
      </c>
      <c r="E7" s="9" t="s">
        <v>36</v>
      </c>
      <c r="F7" s="12" t="n">
        <v>15</v>
      </c>
      <c r="G7" s="13" t="n">
        <v>10</v>
      </c>
      <c r="H7" s="12" t="n">
        <v>6</v>
      </c>
    </row>
    <row r="8" customFormat="false" ht="15" hidden="false" customHeight="false" outlineLevel="0" collapsed="false">
      <c r="A8" s="9" t="s">
        <v>37</v>
      </c>
      <c r="B8" s="12" t="n">
        <v>2</v>
      </c>
      <c r="C8" s="11" t="s">
        <v>38</v>
      </c>
      <c r="E8" s="9" t="s">
        <v>39</v>
      </c>
      <c r="F8" s="12" t="n">
        <v>50</v>
      </c>
      <c r="G8" s="13" t="n">
        <v>30</v>
      </c>
      <c r="H8" s="12" t="n">
        <v>15</v>
      </c>
    </row>
    <row r="9" customFormat="false" ht="15" hidden="false" customHeight="false" outlineLevel="0" collapsed="false">
      <c r="A9" s="9" t="s">
        <v>40</v>
      </c>
      <c r="B9" s="15" t="n">
        <v>0.05</v>
      </c>
      <c r="C9" s="11" t="s">
        <v>41</v>
      </c>
      <c r="E9" s="9" t="s">
        <v>42</v>
      </c>
      <c r="F9" s="12" t="n">
        <v>100</v>
      </c>
      <c r="G9" s="13" t="n">
        <v>55</v>
      </c>
      <c r="H9" s="12" t="n">
        <v>25</v>
      </c>
    </row>
    <row r="10" customFormat="false" ht="15" hidden="false" customHeight="false" outlineLevel="0" collapsed="false">
      <c r="A10" s="9" t="s">
        <v>43</v>
      </c>
      <c r="B10" s="12" t="n">
        <v>2</v>
      </c>
      <c r="C10" s="11" t="s">
        <v>44</v>
      </c>
      <c r="E10" s="9" t="s">
        <v>45</v>
      </c>
      <c r="F10" s="12" t="n">
        <v>200</v>
      </c>
      <c r="G10" s="13" t="n">
        <v>100</v>
      </c>
      <c r="H10" s="12" t="n">
        <v>50</v>
      </c>
    </row>
    <row r="11" customFormat="false" ht="15" hidden="false" customHeight="false" outlineLevel="0" collapsed="false">
      <c r="A11" s="7" t="s">
        <v>46</v>
      </c>
      <c r="B11" s="8"/>
      <c r="C11" s="8"/>
      <c r="E11" s="16" t="s">
        <v>47</v>
      </c>
    </row>
    <row r="12" customFormat="false" ht="15" hidden="false" customHeight="false" outlineLevel="0" collapsed="false">
      <c r="A12" s="9" t="s">
        <v>48</v>
      </c>
      <c r="B12" s="12" t="n">
        <v>1</v>
      </c>
      <c r="C12" s="11" t="s">
        <v>49</v>
      </c>
    </row>
    <row r="13" customFormat="false" ht="26.85" hidden="false" customHeight="false" outlineLevel="0" collapsed="false">
      <c r="A13" s="9" t="s">
        <v>50</v>
      </c>
      <c r="B13" s="14" t="n">
        <v>6</v>
      </c>
      <c r="C13" s="11" t="s">
        <v>51</v>
      </c>
      <c r="E13" s="6" t="s">
        <v>52</v>
      </c>
    </row>
    <row r="14" customFormat="false" ht="31.5" hidden="false" customHeight="true" outlineLevel="0" collapsed="false">
      <c r="A14" s="9" t="s">
        <v>53</v>
      </c>
      <c r="B14" s="12" t="n">
        <v>500</v>
      </c>
      <c r="C14" s="11" t="s">
        <v>54</v>
      </c>
      <c r="E14" s="5" t="s">
        <v>55</v>
      </c>
      <c r="F14" s="5" t="s">
        <v>56</v>
      </c>
    </row>
    <row r="15" customFormat="false" ht="15" hidden="false" customHeight="false" outlineLevel="0" collapsed="false">
      <c r="A15" s="7" t="s">
        <v>57</v>
      </c>
      <c r="B15" s="8"/>
      <c r="C15" s="8"/>
      <c r="E15" s="9" t="s">
        <v>58</v>
      </c>
      <c r="F15" s="17" t="n">
        <v>0.5</v>
      </c>
    </row>
    <row r="16" customFormat="false" ht="26.85" hidden="false" customHeight="false" outlineLevel="0" collapsed="false">
      <c r="A16" s="9" t="s">
        <v>59</v>
      </c>
      <c r="B16" s="18" t="n">
        <v>0.5</v>
      </c>
      <c r="C16" s="11" t="s">
        <v>60</v>
      </c>
      <c r="E16" s="9" t="s">
        <v>61</v>
      </c>
      <c r="F16" s="17" t="n">
        <v>0.8</v>
      </c>
    </row>
    <row r="17" customFormat="false" ht="39.55" hidden="false" customHeight="false" outlineLevel="0" collapsed="false">
      <c r="A17" s="9" t="s">
        <v>62</v>
      </c>
      <c r="B17" s="19" t="n">
        <f aca="false">ISLAND_GROWTH^PET_EXPONENT</f>
        <v>3.62389831838848</v>
      </c>
      <c r="C17" s="11" t="s">
        <v>63</v>
      </c>
      <c r="E17" s="9" t="s">
        <v>64</v>
      </c>
      <c r="F17" s="17" t="n">
        <v>1.2</v>
      </c>
    </row>
    <row r="18" customFormat="false" ht="15" hidden="false" customHeight="false" outlineLevel="0" collapsed="false">
      <c r="A18" s="9" t="s">
        <v>65</v>
      </c>
      <c r="B18" s="18" t="n">
        <v>0.4</v>
      </c>
      <c r="C18" s="11" t="s">
        <v>66</v>
      </c>
      <c r="E18" s="9" t="s">
        <v>67</v>
      </c>
      <c r="F18" s="17" t="n">
        <v>2</v>
      </c>
    </row>
    <row r="19" customFormat="false" ht="15" hidden="false" customHeight="false" outlineLevel="0" collapsed="false">
      <c r="A19" s="7" t="s">
        <v>68</v>
      </c>
      <c r="B19" s="8"/>
      <c r="C19" s="8"/>
      <c r="E19" s="9" t="s">
        <v>69</v>
      </c>
      <c r="F19" s="17" t="n">
        <v>4</v>
      </c>
    </row>
    <row r="20" customFormat="false" ht="26.85" hidden="false" customHeight="false" outlineLevel="0" collapsed="false">
      <c r="A20" s="9" t="s">
        <v>70</v>
      </c>
      <c r="B20" s="10" t="n">
        <v>100000</v>
      </c>
      <c r="C20" s="11" t="s">
        <v>71</v>
      </c>
      <c r="E20" s="9" t="s">
        <v>72</v>
      </c>
      <c r="F20" s="17" t="n">
        <v>10</v>
      </c>
    </row>
    <row r="21" customFormat="false" ht="15" hidden="false" customHeight="false" outlineLevel="0" collapsed="false">
      <c r="A21" s="9" t="s">
        <v>73</v>
      </c>
      <c r="B21" s="14" t="n">
        <v>2</v>
      </c>
      <c r="C21" s="11" t="s">
        <v>74</v>
      </c>
      <c r="E21" s="9" t="s">
        <v>75</v>
      </c>
      <c r="F21" s="17" t="n">
        <v>25</v>
      </c>
    </row>
    <row r="22" customFormat="false" ht="15" hidden="false" customHeight="false" outlineLevel="0" collapsed="false">
      <c r="A22" s="9" t="s">
        <v>76</v>
      </c>
      <c r="B22" s="17" t="n">
        <v>0.5</v>
      </c>
      <c r="C22" s="11" t="s">
        <v>77</v>
      </c>
      <c r="E22" s="16" t="s">
        <v>78</v>
      </c>
    </row>
    <row r="23" customFormat="false" ht="15" hidden="false" customHeight="false" outlineLevel="0" collapsed="false">
      <c r="A23" s="9" t="s">
        <v>79</v>
      </c>
      <c r="B23" s="17" t="n">
        <v>1.1</v>
      </c>
      <c r="C23" s="11" t="s">
        <v>80</v>
      </c>
    </row>
    <row r="24" customFormat="false" ht="15" hidden="false" customHeight="false" outlineLevel="0" collapsed="false">
      <c r="A24" s="7" t="s">
        <v>81</v>
      </c>
      <c r="B24" s="8"/>
      <c r="C24" s="8"/>
    </row>
    <row r="25" customFormat="false" ht="15" hidden="false" customHeight="false" outlineLevel="0" collapsed="false">
      <c r="A25" s="9" t="s">
        <v>82</v>
      </c>
      <c r="B25" s="14" t="n">
        <v>1</v>
      </c>
      <c r="C25" s="11" t="s">
        <v>83</v>
      </c>
    </row>
    <row r="26" customFormat="false" ht="15" hidden="false" customHeight="false" outlineLevel="0" collapsed="false">
      <c r="A26" s="9" t="s">
        <v>84</v>
      </c>
      <c r="B26" s="12" t="n">
        <v>25</v>
      </c>
      <c r="C26" s="11" t="s">
        <v>85</v>
      </c>
    </row>
    <row r="27" customFormat="false" ht="15" hidden="false" customHeight="false" outlineLevel="0" collapsed="false">
      <c r="A27" s="9" t="s">
        <v>86</v>
      </c>
      <c r="B27" s="12" t="n">
        <v>25</v>
      </c>
      <c r="C27" s="11" t="s">
        <v>87</v>
      </c>
    </row>
    <row r="28" customFormat="false" ht="15" hidden="false" customHeight="false" outlineLevel="0" collapsed="false">
      <c r="A28" s="9" t="s">
        <v>88</v>
      </c>
      <c r="B28" s="12" t="n">
        <v>25</v>
      </c>
      <c r="C28" s="11" t="s">
        <v>89</v>
      </c>
    </row>
    <row r="29" customFormat="false" ht="15" hidden="false" customHeight="false" outlineLevel="0" collapsed="false">
      <c r="A29" s="9" t="s">
        <v>90</v>
      </c>
      <c r="B29" s="10" t="n">
        <v>1200</v>
      </c>
      <c r="C29" s="11" t="s">
        <v>91</v>
      </c>
    </row>
    <row r="30" customFormat="false" ht="26.85" hidden="false" customHeight="false" outlineLevel="0" collapsed="false">
      <c r="A30" s="9" t="s">
        <v>92</v>
      </c>
      <c r="B30" s="14" t="n">
        <v>45</v>
      </c>
      <c r="C30" s="11" t="s">
        <v>93</v>
      </c>
    </row>
    <row r="31" customFormat="false" ht="15" hidden="false" customHeight="false" outlineLevel="0" collapsed="false">
      <c r="A31" s="9" t="s">
        <v>94</v>
      </c>
      <c r="B31" s="17" t="n">
        <v>1.5</v>
      </c>
      <c r="C31" s="11" t="s">
        <v>95</v>
      </c>
    </row>
    <row r="32" customFormat="false" ht="15" hidden="false" customHeight="false" outlineLevel="0" collapsed="false">
      <c r="A32" s="9" t="s">
        <v>96</v>
      </c>
      <c r="B32" s="20" t="s">
        <v>36</v>
      </c>
      <c r="C32" s="11" t="s">
        <v>97</v>
      </c>
    </row>
    <row r="33" customFormat="false" ht="15" hidden="false" customHeight="false" outlineLevel="0" collapsed="false">
      <c r="A33" s="7" t="s">
        <v>98</v>
      </c>
      <c r="B33" s="8"/>
      <c r="C33" s="8"/>
    </row>
    <row r="34" customFormat="false" ht="26.85" hidden="false" customHeight="false" outlineLevel="0" collapsed="false">
      <c r="A34" s="9" t="s">
        <v>99</v>
      </c>
      <c r="B34" s="14" t="n">
        <v>30</v>
      </c>
      <c r="C34" s="11" t="s">
        <v>100</v>
      </c>
    </row>
    <row r="35" customFormat="false" ht="26.85" hidden="false" customHeight="false" outlineLevel="0" collapsed="false">
      <c r="A35" s="9" t="s">
        <v>101</v>
      </c>
      <c r="B35" s="12" t="n">
        <v>3</v>
      </c>
      <c r="C35" s="11" t="s">
        <v>102</v>
      </c>
    </row>
    <row r="36" customFormat="false" ht="15" hidden="false" customHeight="false" outlineLevel="0" collapsed="false">
      <c r="A36" s="9" t="s">
        <v>103</v>
      </c>
      <c r="B36" s="12" t="n">
        <v>2</v>
      </c>
      <c r="C36" s="11" t="s">
        <v>104</v>
      </c>
    </row>
    <row r="37" customFormat="false" ht="15" hidden="false" customHeight="false" outlineLevel="0" collapsed="false">
      <c r="A37" s="7" t="s">
        <v>105</v>
      </c>
      <c r="B37" s="8"/>
      <c r="C37" s="8"/>
    </row>
    <row r="38" customFormat="false" ht="15" hidden="false" customHeight="false" outlineLevel="0" collapsed="false">
      <c r="A38" s="9" t="s">
        <v>106</v>
      </c>
      <c r="B38" s="12" t="n">
        <v>100</v>
      </c>
      <c r="C38" s="11" t="s">
        <v>107</v>
      </c>
    </row>
    <row r="39" customFormat="false" ht="15" hidden="false" customHeight="false" outlineLevel="0" collapsed="false">
      <c r="A39" s="9" t="s">
        <v>108</v>
      </c>
      <c r="B39" s="17" t="n">
        <v>1.6</v>
      </c>
      <c r="C39" s="11" t="s">
        <v>109</v>
      </c>
    </row>
    <row r="40" customFormat="false" ht="15" hidden="false" customHeight="false" outlineLevel="0" collapsed="false">
      <c r="A40" s="9" t="s">
        <v>110</v>
      </c>
      <c r="B40" s="21" t="n">
        <f aca="false">1+CRIT_CHANCE*(CRIT_MULT-1)</f>
        <v>1.05</v>
      </c>
      <c r="C40" s="22" t="s">
        <v>111</v>
      </c>
    </row>
  </sheetData>
  <dataValidations count="1">
    <dataValidation allowBlank="false" errorStyle="stop" operator="between" showDropDown="false" showErrorMessage="false" showInputMessage="false" sqref="B32" type="list">
      <formula1>"Very Easy,Easy,Medium,Hard,Very Hard,Boss"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4" t="s">
        <v>112</v>
      </c>
    </row>
    <row r="2" customFormat="false" ht="15" hidden="false" customHeight="false" outlineLevel="0" collapsed="false">
      <c r="A2" s="23" t="s">
        <v>113</v>
      </c>
    </row>
    <row r="4" customFormat="false" ht="15" hidden="false" customHeight="false" outlineLevel="0" collapsed="false">
      <c r="A4" s="6" t="s">
        <v>114</v>
      </c>
    </row>
    <row r="5" customFormat="false" ht="31.5" hidden="false" customHeight="true" outlineLevel="0" collapsed="false">
      <c r="A5" s="5" t="s">
        <v>115</v>
      </c>
      <c r="B5" s="5" t="s">
        <v>30</v>
      </c>
      <c r="C5" s="5" t="s">
        <v>33</v>
      </c>
      <c r="D5" s="5" t="s">
        <v>36</v>
      </c>
      <c r="E5" s="5" t="s">
        <v>39</v>
      </c>
      <c r="F5" s="5" t="s">
        <v>42</v>
      </c>
      <c r="G5" s="5" t="s">
        <v>45</v>
      </c>
    </row>
    <row r="6" customFormat="false" ht="15" hidden="false" customHeight="false" outlineLevel="0" collapsed="false">
      <c r="A6" s="9" t="n">
        <v>1</v>
      </c>
      <c r="B6" s="24" t="n">
        <f aca="false">HP_BASE*ISLAND_GROWTH^($A6-1)*INDEX(TIER_HP,1)</f>
        <v>5000</v>
      </c>
      <c r="C6" s="24" t="n">
        <f aca="false">HP_BASE*ISLAND_GROWTH^($A6-1)*INDEX(TIER_HP,2)</f>
        <v>15000</v>
      </c>
      <c r="D6" s="24" t="n">
        <f aca="false">HP_BASE*ISLAND_GROWTH^($A6-1)*INDEX(TIER_HP,3)</f>
        <v>75000</v>
      </c>
      <c r="E6" s="24" t="n">
        <f aca="false">HP_BASE*ISLAND_GROWTH^($A6-1)*INDEX(TIER_HP,4)</f>
        <v>250000</v>
      </c>
      <c r="F6" s="24" t="n">
        <f aca="false">HP_BASE*ISLAND_GROWTH^($A6-1)*INDEX(TIER_HP,5)</f>
        <v>500000</v>
      </c>
      <c r="G6" s="24" t="n">
        <f aca="false">HP_BASE*ISLAND_GROWTH^($A6-1)*INDEX(TIER_HP,6)</f>
        <v>1000000</v>
      </c>
    </row>
    <row r="7" customFormat="false" ht="15" hidden="false" customHeight="false" outlineLevel="0" collapsed="false">
      <c r="A7" s="9" t="n">
        <v>2</v>
      </c>
      <c r="B7" s="24" t="n">
        <f aca="false">HP_BASE*ISLAND_GROWTH^($A7-1)*INDEX(TIER_HP,1)</f>
        <v>125000</v>
      </c>
      <c r="C7" s="24" t="n">
        <f aca="false">HP_BASE*ISLAND_GROWTH^($A7-1)*INDEX(TIER_HP,2)</f>
        <v>375000</v>
      </c>
      <c r="D7" s="24" t="n">
        <f aca="false">HP_BASE*ISLAND_GROWTH^($A7-1)*INDEX(TIER_HP,3)</f>
        <v>1875000</v>
      </c>
      <c r="E7" s="24" t="n">
        <f aca="false">HP_BASE*ISLAND_GROWTH^($A7-1)*INDEX(TIER_HP,4)</f>
        <v>6250000</v>
      </c>
      <c r="F7" s="24" t="n">
        <f aca="false">HP_BASE*ISLAND_GROWTH^($A7-1)*INDEX(TIER_HP,5)</f>
        <v>12500000</v>
      </c>
      <c r="G7" s="24" t="n">
        <f aca="false">HP_BASE*ISLAND_GROWTH^($A7-1)*INDEX(TIER_HP,6)</f>
        <v>25000000</v>
      </c>
    </row>
    <row r="8" customFormat="false" ht="15" hidden="false" customHeight="false" outlineLevel="0" collapsed="false">
      <c r="A8" s="9" t="n">
        <v>3</v>
      </c>
      <c r="B8" s="24" t="n">
        <f aca="false">HP_BASE*ISLAND_GROWTH^($A8-1)*INDEX(TIER_HP,1)</f>
        <v>3125000</v>
      </c>
      <c r="C8" s="24" t="n">
        <f aca="false">HP_BASE*ISLAND_GROWTH^($A8-1)*INDEX(TIER_HP,2)</f>
        <v>9375000</v>
      </c>
      <c r="D8" s="24" t="n">
        <f aca="false">HP_BASE*ISLAND_GROWTH^($A8-1)*INDEX(TIER_HP,3)</f>
        <v>46875000</v>
      </c>
      <c r="E8" s="24" t="n">
        <f aca="false">HP_BASE*ISLAND_GROWTH^($A8-1)*INDEX(TIER_HP,4)</f>
        <v>156250000</v>
      </c>
      <c r="F8" s="24" t="n">
        <f aca="false">HP_BASE*ISLAND_GROWTH^($A8-1)*INDEX(TIER_HP,5)</f>
        <v>312500000</v>
      </c>
      <c r="G8" s="24" t="n">
        <f aca="false">HP_BASE*ISLAND_GROWTH^($A8-1)*INDEX(TIER_HP,6)</f>
        <v>625000000</v>
      </c>
    </row>
    <row r="9" customFormat="false" ht="15" hidden="false" customHeight="false" outlineLevel="0" collapsed="false">
      <c r="A9" s="9" t="n">
        <v>4</v>
      </c>
      <c r="B9" s="24" t="n">
        <f aca="false">HP_BASE*ISLAND_GROWTH^($A9-1)*INDEX(TIER_HP,1)</f>
        <v>78125000</v>
      </c>
      <c r="C9" s="24" t="n">
        <f aca="false">HP_BASE*ISLAND_GROWTH^($A9-1)*INDEX(TIER_HP,2)</f>
        <v>234375000</v>
      </c>
      <c r="D9" s="24" t="n">
        <f aca="false">HP_BASE*ISLAND_GROWTH^($A9-1)*INDEX(TIER_HP,3)</f>
        <v>1171875000</v>
      </c>
      <c r="E9" s="24" t="n">
        <f aca="false">HP_BASE*ISLAND_GROWTH^($A9-1)*INDEX(TIER_HP,4)</f>
        <v>3906250000</v>
      </c>
      <c r="F9" s="24" t="n">
        <f aca="false">HP_BASE*ISLAND_GROWTH^($A9-1)*INDEX(TIER_HP,5)</f>
        <v>7812500000</v>
      </c>
      <c r="G9" s="24" t="n">
        <f aca="false">HP_BASE*ISLAND_GROWTH^($A9-1)*INDEX(TIER_HP,6)</f>
        <v>15625000000</v>
      </c>
    </row>
    <row r="10" customFormat="false" ht="15" hidden="false" customHeight="false" outlineLevel="0" collapsed="false">
      <c r="A10" s="9" t="n">
        <v>5</v>
      </c>
      <c r="B10" s="24" t="n">
        <f aca="false">HP_BASE*ISLAND_GROWTH^($A10-1)*INDEX(TIER_HP,1)</f>
        <v>1953125000</v>
      </c>
      <c r="C10" s="24" t="n">
        <f aca="false">HP_BASE*ISLAND_GROWTH^($A10-1)*INDEX(TIER_HP,2)</f>
        <v>5859375000</v>
      </c>
      <c r="D10" s="24" t="n">
        <f aca="false">HP_BASE*ISLAND_GROWTH^($A10-1)*INDEX(TIER_HP,3)</f>
        <v>29296875000</v>
      </c>
      <c r="E10" s="24" t="n">
        <f aca="false">HP_BASE*ISLAND_GROWTH^($A10-1)*INDEX(TIER_HP,4)</f>
        <v>97656250000</v>
      </c>
      <c r="F10" s="24" t="n">
        <f aca="false">HP_BASE*ISLAND_GROWTH^($A10-1)*INDEX(TIER_HP,5)</f>
        <v>195312500000</v>
      </c>
      <c r="G10" s="24" t="n">
        <f aca="false">HP_BASE*ISLAND_GROWTH^($A10-1)*INDEX(TIER_HP,6)</f>
        <v>390625000000</v>
      </c>
    </row>
    <row r="11" customFormat="false" ht="15" hidden="false" customHeight="false" outlineLevel="0" collapsed="false">
      <c r="A11" s="9" t="n">
        <v>6</v>
      </c>
      <c r="B11" s="24" t="n">
        <f aca="false">HP_BASE*ISLAND_GROWTH^($A11-1)*INDEX(TIER_HP,1)</f>
        <v>48828125000</v>
      </c>
      <c r="C11" s="24" t="n">
        <f aca="false">HP_BASE*ISLAND_GROWTH^($A11-1)*INDEX(TIER_HP,2)</f>
        <v>146484375000</v>
      </c>
      <c r="D11" s="24" t="n">
        <f aca="false">HP_BASE*ISLAND_GROWTH^($A11-1)*INDEX(TIER_HP,3)</f>
        <v>732421875000</v>
      </c>
      <c r="E11" s="24" t="n">
        <f aca="false">HP_BASE*ISLAND_GROWTH^($A11-1)*INDEX(TIER_HP,4)</f>
        <v>2441406250000</v>
      </c>
      <c r="F11" s="24" t="n">
        <f aca="false">HP_BASE*ISLAND_GROWTH^($A11-1)*INDEX(TIER_HP,5)</f>
        <v>4882812500000</v>
      </c>
      <c r="G11" s="24" t="n">
        <f aca="false">HP_BASE*ISLAND_GROWTH^($A11-1)*INDEX(TIER_HP,6)</f>
        <v>9765625000000</v>
      </c>
    </row>
    <row r="12" customFormat="false" ht="15" hidden="false" customHeight="false" outlineLevel="0" collapsed="false">
      <c r="A12" s="9" t="n">
        <v>7</v>
      </c>
      <c r="B12" s="24" t="n">
        <f aca="false">HP_BASE*ISLAND_GROWTH^($A12-1)*INDEX(TIER_HP,1)</f>
        <v>1220703125000</v>
      </c>
      <c r="C12" s="24" t="n">
        <f aca="false">HP_BASE*ISLAND_GROWTH^($A12-1)*INDEX(TIER_HP,2)</f>
        <v>3662109375000</v>
      </c>
      <c r="D12" s="24" t="n">
        <f aca="false">HP_BASE*ISLAND_GROWTH^($A12-1)*INDEX(TIER_HP,3)</f>
        <v>18310546875000</v>
      </c>
      <c r="E12" s="24" t="n">
        <f aca="false">HP_BASE*ISLAND_GROWTH^($A12-1)*INDEX(TIER_HP,4)</f>
        <v>61035156250000</v>
      </c>
      <c r="F12" s="24" t="n">
        <f aca="false">HP_BASE*ISLAND_GROWTH^($A12-1)*INDEX(TIER_HP,5)</f>
        <v>122070312500000</v>
      </c>
      <c r="G12" s="24" t="n">
        <f aca="false">HP_BASE*ISLAND_GROWTH^($A12-1)*INDEX(TIER_HP,6)</f>
        <v>244140625000000</v>
      </c>
    </row>
    <row r="13" customFormat="false" ht="15" hidden="false" customHeight="false" outlineLevel="0" collapsed="false">
      <c r="A13" s="9" t="n">
        <v>8</v>
      </c>
      <c r="B13" s="24" t="n">
        <f aca="false">HP_BASE*ISLAND_GROWTH^($A13-1)*INDEX(TIER_HP,1)</f>
        <v>30517578125000</v>
      </c>
      <c r="C13" s="24" t="n">
        <f aca="false">HP_BASE*ISLAND_GROWTH^($A13-1)*INDEX(TIER_HP,2)</f>
        <v>91552734375000</v>
      </c>
      <c r="D13" s="24" t="n">
        <f aca="false">HP_BASE*ISLAND_GROWTH^($A13-1)*INDEX(TIER_HP,3)</f>
        <v>457763671875000</v>
      </c>
      <c r="E13" s="24" t="n">
        <f aca="false">HP_BASE*ISLAND_GROWTH^($A13-1)*INDEX(TIER_HP,4)</f>
        <v>1525878906250000</v>
      </c>
      <c r="F13" s="24" t="n">
        <f aca="false">HP_BASE*ISLAND_GROWTH^($A13-1)*INDEX(TIER_HP,5)</f>
        <v>3051757812500000</v>
      </c>
      <c r="G13" s="24" t="n">
        <f aca="false">HP_BASE*ISLAND_GROWTH^($A13-1)*INDEX(TIER_HP,6)</f>
        <v>6103515625000000</v>
      </c>
    </row>
    <row r="16" customFormat="false" ht="15" hidden="false" customHeight="false" outlineLevel="0" collapsed="false">
      <c r="A16" s="6" t="s">
        <v>116</v>
      </c>
    </row>
    <row r="17" customFormat="false" ht="31.5" hidden="false" customHeight="true" outlineLevel="0" collapsed="false">
      <c r="A17" s="5" t="s">
        <v>115</v>
      </c>
      <c r="B17" s="5" t="s">
        <v>30</v>
      </c>
      <c r="C17" s="5" t="s">
        <v>33</v>
      </c>
      <c r="D17" s="5" t="s">
        <v>36</v>
      </c>
      <c r="E17" s="5" t="s">
        <v>39</v>
      </c>
      <c r="F17" s="5" t="s">
        <v>42</v>
      </c>
      <c r="G17" s="5" t="s">
        <v>45</v>
      </c>
    </row>
    <row r="18" customFormat="false" ht="15" hidden="false" customHeight="false" outlineLevel="0" collapsed="false">
      <c r="A18" s="9" t="n">
        <v>1</v>
      </c>
      <c r="B18" s="24" t="n">
        <f aca="false">COIN_BASE*COIN_GROWTH^($A18-1)*INDEX(TIER_COIN,1)</f>
        <v>1</v>
      </c>
      <c r="C18" s="24" t="n">
        <f aca="false">COIN_BASE*COIN_GROWTH^($A18-1)*INDEX(TIER_COIN,2)</f>
        <v>2.5</v>
      </c>
      <c r="D18" s="24" t="n">
        <f aca="false">COIN_BASE*COIN_GROWTH^($A18-1)*INDEX(TIER_COIN,3)</f>
        <v>10</v>
      </c>
      <c r="E18" s="24" t="n">
        <f aca="false">COIN_BASE*COIN_GROWTH^($A18-1)*INDEX(TIER_COIN,4)</f>
        <v>30</v>
      </c>
      <c r="F18" s="24" t="n">
        <f aca="false">COIN_BASE*COIN_GROWTH^($A18-1)*INDEX(TIER_COIN,5)</f>
        <v>55</v>
      </c>
      <c r="G18" s="24" t="n">
        <f aca="false">COIN_BASE*COIN_GROWTH^($A18-1)*INDEX(TIER_COIN,6)</f>
        <v>100</v>
      </c>
    </row>
    <row r="19" customFormat="false" ht="15" hidden="false" customHeight="false" outlineLevel="0" collapsed="false">
      <c r="A19" s="9" t="n">
        <v>2</v>
      </c>
      <c r="B19" s="24" t="n">
        <f aca="false">COIN_BASE*COIN_GROWTH^($A19-1)*INDEX(TIER_COIN,1)</f>
        <v>25</v>
      </c>
      <c r="C19" s="24" t="n">
        <f aca="false">COIN_BASE*COIN_GROWTH^($A19-1)*INDEX(TIER_COIN,2)</f>
        <v>62.5</v>
      </c>
      <c r="D19" s="24" t="n">
        <f aca="false">COIN_BASE*COIN_GROWTH^($A19-1)*INDEX(TIER_COIN,3)</f>
        <v>250</v>
      </c>
      <c r="E19" s="24" t="n">
        <f aca="false">COIN_BASE*COIN_GROWTH^($A19-1)*INDEX(TIER_COIN,4)</f>
        <v>750</v>
      </c>
      <c r="F19" s="24" t="n">
        <f aca="false">COIN_BASE*COIN_GROWTH^($A19-1)*INDEX(TIER_COIN,5)</f>
        <v>1375</v>
      </c>
      <c r="G19" s="24" t="n">
        <f aca="false">COIN_BASE*COIN_GROWTH^($A19-1)*INDEX(TIER_COIN,6)</f>
        <v>2500</v>
      </c>
    </row>
    <row r="20" customFormat="false" ht="15" hidden="false" customHeight="false" outlineLevel="0" collapsed="false">
      <c r="A20" s="9" t="n">
        <v>3</v>
      </c>
      <c r="B20" s="24" t="n">
        <f aca="false">COIN_BASE*COIN_GROWTH^($A20-1)*INDEX(TIER_COIN,1)</f>
        <v>625</v>
      </c>
      <c r="C20" s="24" t="n">
        <f aca="false">COIN_BASE*COIN_GROWTH^($A20-1)*INDEX(TIER_COIN,2)</f>
        <v>1562.5</v>
      </c>
      <c r="D20" s="24" t="n">
        <f aca="false">COIN_BASE*COIN_GROWTH^($A20-1)*INDEX(TIER_COIN,3)</f>
        <v>6250</v>
      </c>
      <c r="E20" s="24" t="n">
        <f aca="false">COIN_BASE*COIN_GROWTH^($A20-1)*INDEX(TIER_COIN,4)</f>
        <v>18750</v>
      </c>
      <c r="F20" s="24" t="n">
        <f aca="false">COIN_BASE*COIN_GROWTH^($A20-1)*INDEX(TIER_COIN,5)</f>
        <v>34375</v>
      </c>
      <c r="G20" s="24" t="n">
        <f aca="false">COIN_BASE*COIN_GROWTH^($A20-1)*INDEX(TIER_COIN,6)</f>
        <v>62500</v>
      </c>
    </row>
    <row r="21" customFormat="false" ht="15" hidden="false" customHeight="false" outlineLevel="0" collapsed="false">
      <c r="A21" s="9" t="n">
        <v>4</v>
      </c>
      <c r="B21" s="24" t="n">
        <f aca="false">COIN_BASE*COIN_GROWTH^($A21-1)*INDEX(TIER_COIN,1)</f>
        <v>15625</v>
      </c>
      <c r="C21" s="24" t="n">
        <f aca="false">COIN_BASE*COIN_GROWTH^($A21-1)*INDEX(TIER_COIN,2)</f>
        <v>39062.5</v>
      </c>
      <c r="D21" s="24" t="n">
        <f aca="false">COIN_BASE*COIN_GROWTH^($A21-1)*INDEX(TIER_COIN,3)</f>
        <v>156250</v>
      </c>
      <c r="E21" s="24" t="n">
        <f aca="false">COIN_BASE*COIN_GROWTH^($A21-1)*INDEX(TIER_COIN,4)</f>
        <v>468750</v>
      </c>
      <c r="F21" s="24" t="n">
        <f aca="false">COIN_BASE*COIN_GROWTH^($A21-1)*INDEX(TIER_COIN,5)</f>
        <v>859375</v>
      </c>
      <c r="G21" s="24" t="n">
        <f aca="false">COIN_BASE*COIN_GROWTH^($A21-1)*INDEX(TIER_COIN,6)</f>
        <v>1562500</v>
      </c>
    </row>
    <row r="22" customFormat="false" ht="15" hidden="false" customHeight="false" outlineLevel="0" collapsed="false">
      <c r="A22" s="9" t="n">
        <v>5</v>
      </c>
      <c r="B22" s="24" t="n">
        <f aca="false">COIN_BASE*COIN_GROWTH^($A22-1)*INDEX(TIER_COIN,1)</f>
        <v>390625</v>
      </c>
      <c r="C22" s="24" t="n">
        <f aca="false">COIN_BASE*COIN_GROWTH^($A22-1)*INDEX(TIER_COIN,2)</f>
        <v>976562.5</v>
      </c>
      <c r="D22" s="24" t="n">
        <f aca="false">COIN_BASE*COIN_GROWTH^($A22-1)*INDEX(TIER_COIN,3)</f>
        <v>3906250</v>
      </c>
      <c r="E22" s="24" t="n">
        <f aca="false">COIN_BASE*COIN_GROWTH^($A22-1)*INDEX(TIER_COIN,4)</f>
        <v>11718750</v>
      </c>
      <c r="F22" s="24" t="n">
        <f aca="false">COIN_BASE*COIN_GROWTH^($A22-1)*INDEX(TIER_COIN,5)</f>
        <v>21484375</v>
      </c>
      <c r="G22" s="24" t="n">
        <f aca="false">COIN_BASE*COIN_GROWTH^($A22-1)*INDEX(TIER_COIN,6)</f>
        <v>39062500</v>
      </c>
    </row>
    <row r="23" customFormat="false" ht="15" hidden="false" customHeight="false" outlineLevel="0" collapsed="false">
      <c r="A23" s="9" t="n">
        <v>6</v>
      </c>
      <c r="B23" s="24" t="n">
        <f aca="false">COIN_BASE*COIN_GROWTH^($A23-1)*INDEX(TIER_COIN,1)</f>
        <v>9765625</v>
      </c>
      <c r="C23" s="24" t="n">
        <f aca="false">COIN_BASE*COIN_GROWTH^($A23-1)*INDEX(TIER_COIN,2)</f>
        <v>24414062.5</v>
      </c>
      <c r="D23" s="24" t="n">
        <f aca="false">COIN_BASE*COIN_GROWTH^($A23-1)*INDEX(TIER_COIN,3)</f>
        <v>97656250</v>
      </c>
      <c r="E23" s="24" t="n">
        <f aca="false">COIN_BASE*COIN_GROWTH^($A23-1)*INDEX(TIER_COIN,4)</f>
        <v>292968750</v>
      </c>
      <c r="F23" s="24" t="n">
        <f aca="false">COIN_BASE*COIN_GROWTH^($A23-1)*INDEX(TIER_COIN,5)</f>
        <v>537109375</v>
      </c>
      <c r="G23" s="24" t="n">
        <f aca="false">COIN_BASE*COIN_GROWTH^($A23-1)*INDEX(TIER_COIN,6)</f>
        <v>976562500</v>
      </c>
    </row>
    <row r="24" customFormat="false" ht="15" hidden="false" customHeight="false" outlineLevel="0" collapsed="false">
      <c r="A24" s="9" t="n">
        <v>7</v>
      </c>
      <c r="B24" s="24" t="n">
        <f aca="false">COIN_BASE*COIN_GROWTH^($A24-1)*INDEX(TIER_COIN,1)</f>
        <v>244140625</v>
      </c>
      <c r="C24" s="24" t="n">
        <f aca="false">COIN_BASE*COIN_GROWTH^($A24-1)*INDEX(TIER_COIN,2)</f>
        <v>610351562.5</v>
      </c>
      <c r="D24" s="24" t="n">
        <f aca="false">COIN_BASE*COIN_GROWTH^($A24-1)*INDEX(TIER_COIN,3)</f>
        <v>2441406250</v>
      </c>
      <c r="E24" s="24" t="n">
        <f aca="false">COIN_BASE*COIN_GROWTH^($A24-1)*INDEX(TIER_COIN,4)</f>
        <v>7324218750</v>
      </c>
      <c r="F24" s="24" t="n">
        <f aca="false">COIN_BASE*COIN_GROWTH^($A24-1)*INDEX(TIER_COIN,5)</f>
        <v>13427734375</v>
      </c>
      <c r="G24" s="24" t="n">
        <f aca="false">COIN_BASE*COIN_GROWTH^($A24-1)*INDEX(TIER_COIN,6)</f>
        <v>24414062500</v>
      </c>
    </row>
    <row r="25" customFormat="false" ht="15" hidden="false" customHeight="false" outlineLevel="0" collapsed="false">
      <c r="A25" s="9" t="n">
        <v>8</v>
      </c>
      <c r="B25" s="24" t="n">
        <f aca="false">COIN_BASE*COIN_GROWTH^($A25-1)*INDEX(TIER_COIN,1)</f>
        <v>6103515625</v>
      </c>
      <c r="C25" s="24" t="n">
        <f aca="false">COIN_BASE*COIN_GROWTH^($A25-1)*INDEX(TIER_COIN,2)</f>
        <v>15258789062.5</v>
      </c>
      <c r="D25" s="24" t="n">
        <f aca="false">COIN_BASE*COIN_GROWTH^($A25-1)*INDEX(TIER_COIN,3)</f>
        <v>61035156250</v>
      </c>
      <c r="E25" s="24" t="n">
        <f aca="false">COIN_BASE*COIN_GROWTH^($A25-1)*INDEX(TIER_COIN,4)</f>
        <v>183105468750</v>
      </c>
      <c r="F25" s="24" t="n">
        <f aca="false">COIN_BASE*COIN_GROWTH^($A25-1)*INDEX(TIER_COIN,5)</f>
        <v>335693359375</v>
      </c>
      <c r="G25" s="24" t="n">
        <f aca="false">COIN_BASE*COIN_GROWTH^($A25-1)*INDEX(TIER_COIN,6)</f>
        <v>610351562500</v>
      </c>
    </row>
    <row r="28" customFormat="false" ht="15" hidden="false" customHeight="false" outlineLevel="0" collapsed="false">
      <c r="A28" s="6" t="s">
        <v>117</v>
      </c>
    </row>
    <row r="29" customFormat="false" ht="31.5" hidden="false" customHeight="true" outlineLevel="0" collapsed="false">
      <c r="A29" s="5" t="s">
        <v>115</v>
      </c>
      <c r="B29" s="5" t="s">
        <v>30</v>
      </c>
      <c r="C29" s="5" t="s">
        <v>33</v>
      </c>
      <c r="D29" s="5" t="s">
        <v>36</v>
      </c>
      <c r="E29" s="5" t="s">
        <v>39</v>
      </c>
      <c r="F29" s="5" t="s">
        <v>42</v>
      </c>
      <c r="G29" s="5" t="s">
        <v>45</v>
      </c>
    </row>
    <row r="30" customFormat="false" ht="15" hidden="false" customHeight="false" outlineLevel="0" collapsed="false">
      <c r="A30" s="9" t="n">
        <v>1</v>
      </c>
      <c r="B30" s="24" t="n">
        <f aca="false">10*COIN_GROWTH^($A30-1)*INDEX(TIER_EXP,1)</f>
        <v>10</v>
      </c>
      <c r="C30" s="24" t="n">
        <f aca="false">10*COIN_GROWTH^($A30-1)*INDEX(TIER_EXP,2)</f>
        <v>20</v>
      </c>
      <c r="D30" s="24" t="n">
        <f aca="false">10*COIN_GROWTH^($A30-1)*INDEX(TIER_EXP,3)</f>
        <v>60</v>
      </c>
      <c r="E30" s="24" t="n">
        <f aca="false">10*COIN_GROWTH^($A30-1)*INDEX(TIER_EXP,4)</f>
        <v>150</v>
      </c>
      <c r="F30" s="24" t="n">
        <f aca="false">10*COIN_GROWTH^($A30-1)*INDEX(TIER_EXP,5)</f>
        <v>250</v>
      </c>
      <c r="G30" s="24" t="n">
        <f aca="false">10*COIN_GROWTH^($A30-1)*INDEX(TIER_EXP,6)</f>
        <v>500</v>
      </c>
    </row>
    <row r="31" customFormat="false" ht="15" hidden="false" customHeight="false" outlineLevel="0" collapsed="false">
      <c r="A31" s="9" t="n">
        <v>2</v>
      </c>
      <c r="B31" s="24" t="n">
        <f aca="false">10*COIN_GROWTH^($A31-1)*INDEX(TIER_EXP,1)</f>
        <v>250</v>
      </c>
      <c r="C31" s="24" t="n">
        <f aca="false">10*COIN_GROWTH^($A31-1)*INDEX(TIER_EXP,2)</f>
        <v>500</v>
      </c>
      <c r="D31" s="24" t="n">
        <f aca="false">10*COIN_GROWTH^($A31-1)*INDEX(TIER_EXP,3)</f>
        <v>1500</v>
      </c>
      <c r="E31" s="24" t="n">
        <f aca="false">10*COIN_GROWTH^($A31-1)*INDEX(TIER_EXP,4)</f>
        <v>3750</v>
      </c>
      <c r="F31" s="24" t="n">
        <f aca="false">10*COIN_GROWTH^($A31-1)*INDEX(TIER_EXP,5)</f>
        <v>6250</v>
      </c>
      <c r="G31" s="24" t="n">
        <f aca="false">10*COIN_GROWTH^($A31-1)*INDEX(TIER_EXP,6)</f>
        <v>12500</v>
      </c>
    </row>
    <row r="32" customFormat="false" ht="15" hidden="false" customHeight="false" outlineLevel="0" collapsed="false">
      <c r="A32" s="9" t="n">
        <v>3</v>
      </c>
      <c r="B32" s="24" t="n">
        <f aca="false">10*COIN_GROWTH^($A32-1)*INDEX(TIER_EXP,1)</f>
        <v>6250</v>
      </c>
      <c r="C32" s="24" t="n">
        <f aca="false">10*COIN_GROWTH^($A32-1)*INDEX(TIER_EXP,2)</f>
        <v>12500</v>
      </c>
      <c r="D32" s="24" t="n">
        <f aca="false">10*COIN_GROWTH^($A32-1)*INDEX(TIER_EXP,3)</f>
        <v>37500</v>
      </c>
      <c r="E32" s="24" t="n">
        <f aca="false">10*COIN_GROWTH^($A32-1)*INDEX(TIER_EXP,4)</f>
        <v>93750</v>
      </c>
      <c r="F32" s="24" t="n">
        <f aca="false">10*COIN_GROWTH^($A32-1)*INDEX(TIER_EXP,5)</f>
        <v>156250</v>
      </c>
      <c r="G32" s="24" t="n">
        <f aca="false">10*COIN_GROWTH^($A32-1)*INDEX(TIER_EXP,6)</f>
        <v>312500</v>
      </c>
    </row>
    <row r="33" customFormat="false" ht="15" hidden="false" customHeight="false" outlineLevel="0" collapsed="false">
      <c r="A33" s="9" t="n">
        <v>4</v>
      </c>
      <c r="B33" s="24" t="n">
        <f aca="false">10*COIN_GROWTH^($A33-1)*INDEX(TIER_EXP,1)</f>
        <v>156250</v>
      </c>
      <c r="C33" s="24" t="n">
        <f aca="false">10*COIN_GROWTH^($A33-1)*INDEX(TIER_EXP,2)</f>
        <v>312500</v>
      </c>
      <c r="D33" s="24" t="n">
        <f aca="false">10*COIN_GROWTH^($A33-1)*INDEX(TIER_EXP,3)</f>
        <v>937500</v>
      </c>
      <c r="E33" s="24" t="n">
        <f aca="false">10*COIN_GROWTH^($A33-1)*INDEX(TIER_EXP,4)</f>
        <v>2343750</v>
      </c>
      <c r="F33" s="24" t="n">
        <f aca="false">10*COIN_GROWTH^($A33-1)*INDEX(TIER_EXP,5)</f>
        <v>3906250</v>
      </c>
      <c r="G33" s="24" t="n">
        <f aca="false">10*COIN_GROWTH^($A33-1)*INDEX(TIER_EXP,6)</f>
        <v>7812500</v>
      </c>
    </row>
    <row r="34" customFormat="false" ht="15" hidden="false" customHeight="false" outlineLevel="0" collapsed="false">
      <c r="A34" s="9" t="n">
        <v>5</v>
      </c>
      <c r="B34" s="24" t="n">
        <f aca="false">10*COIN_GROWTH^($A34-1)*INDEX(TIER_EXP,1)</f>
        <v>3906250</v>
      </c>
      <c r="C34" s="24" t="n">
        <f aca="false">10*COIN_GROWTH^($A34-1)*INDEX(TIER_EXP,2)</f>
        <v>7812500</v>
      </c>
      <c r="D34" s="24" t="n">
        <f aca="false">10*COIN_GROWTH^($A34-1)*INDEX(TIER_EXP,3)</f>
        <v>23437500</v>
      </c>
      <c r="E34" s="24" t="n">
        <f aca="false">10*COIN_GROWTH^($A34-1)*INDEX(TIER_EXP,4)</f>
        <v>58593750</v>
      </c>
      <c r="F34" s="24" t="n">
        <f aca="false">10*COIN_GROWTH^($A34-1)*INDEX(TIER_EXP,5)</f>
        <v>97656250</v>
      </c>
      <c r="G34" s="24" t="n">
        <f aca="false">10*COIN_GROWTH^($A34-1)*INDEX(TIER_EXP,6)</f>
        <v>195312500</v>
      </c>
    </row>
    <row r="35" customFormat="false" ht="15" hidden="false" customHeight="false" outlineLevel="0" collapsed="false">
      <c r="A35" s="9" t="n">
        <v>6</v>
      </c>
      <c r="B35" s="24" t="n">
        <f aca="false">10*COIN_GROWTH^($A35-1)*INDEX(TIER_EXP,1)</f>
        <v>97656250</v>
      </c>
      <c r="C35" s="24" t="n">
        <f aca="false">10*COIN_GROWTH^($A35-1)*INDEX(TIER_EXP,2)</f>
        <v>195312500</v>
      </c>
      <c r="D35" s="24" t="n">
        <f aca="false">10*COIN_GROWTH^($A35-1)*INDEX(TIER_EXP,3)</f>
        <v>585937500</v>
      </c>
      <c r="E35" s="24" t="n">
        <f aca="false">10*COIN_GROWTH^($A35-1)*INDEX(TIER_EXP,4)</f>
        <v>1464843750</v>
      </c>
      <c r="F35" s="24" t="n">
        <f aca="false">10*COIN_GROWTH^($A35-1)*INDEX(TIER_EXP,5)</f>
        <v>2441406250</v>
      </c>
      <c r="G35" s="24" t="n">
        <f aca="false">10*COIN_GROWTH^($A35-1)*INDEX(TIER_EXP,6)</f>
        <v>4882812500</v>
      </c>
    </row>
    <row r="36" customFormat="false" ht="15" hidden="false" customHeight="false" outlineLevel="0" collapsed="false">
      <c r="A36" s="9" t="n">
        <v>7</v>
      </c>
      <c r="B36" s="24" t="n">
        <f aca="false">10*COIN_GROWTH^($A36-1)*INDEX(TIER_EXP,1)</f>
        <v>2441406250</v>
      </c>
      <c r="C36" s="24" t="n">
        <f aca="false">10*COIN_GROWTH^($A36-1)*INDEX(TIER_EXP,2)</f>
        <v>4882812500</v>
      </c>
      <c r="D36" s="24" t="n">
        <f aca="false">10*COIN_GROWTH^($A36-1)*INDEX(TIER_EXP,3)</f>
        <v>14648437500</v>
      </c>
      <c r="E36" s="24" t="n">
        <f aca="false">10*COIN_GROWTH^($A36-1)*INDEX(TIER_EXP,4)</f>
        <v>36621093750</v>
      </c>
      <c r="F36" s="24" t="n">
        <f aca="false">10*COIN_GROWTH^($A36-1)*INDEX(TIER_EXP,5)</f>
        <v>61035156250</v>
      </c>
      <c r="G36" s="24" t="n">
        <f aca="false">10*COIN_GROWTH^($A36-1)*INDEX(TIER_EXP,6)</f>
        <v>122070312500</v>
      </c>
    </row>
    <row r="37" customFormat="false" ht="15" hidden="false" customHeight="false" outlineLevel="0" collapsed="false">
      <c r="A37" s="9" t="n">
        <v>8</v>
      </c>
      <c r="B37" s="24" t="n">
        <f aca="false">10*COIN_GROWTH^($A37-1)*INDEX(TIER_EXP,1)</f>
        <v>61035156250</v>
      </c>
      <c r="C37" s="24" t="n">
        <f aca="false">10*COIN_GROWTH^($A37-1)*INDEX(TIER_EXP,2)</f>
        <v>122070312500</v>
      </c>
      <c r="D37" s="24" t="n">
        <f aca="false">10*COIN_GROWTH^($A37-1)*INDEX(TIER_EXP,3)</f>
        <v>366210937500</v>
      </c>
      <c r="E37" s="24" t="n">
        <f aca="false">10*COIN_GROWTH^($A37-1)*INDEX(TIER_EXP,4)</f>
        <v>915527343750</v>
      </c>
      <c r="F37" s="24" t="n">
        <f aca="false">10*COIN_GROWTH^($A37-1)*INDEX(TIER_EXP,5)</f>
        <v>1525878906250</v>
      </c>
      <c r="G37" s="24" t="n">
        <f aca="false">10*COIN_GROWTH^($A37-1)*INDEX(TIER_EXP,6)</f>
        <v>3051757812500</v>
      </c>
    </row>
    <row r="39" customFormat="false" ht="15" hidden="false" customHeight="false" outlineLevel="0" collapsed="false">
      <c r="A39" s="16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4" t="s">
        <v>119</v>
      </c>
    </row>
    <row r="2" customFormat="false" ht="15" hidden="false" customHeight="false" outlineLevel="0" collapsed="false">
      <c r="A2" s="23" t="s">
        <v>120</v>
      </c>
    </row>
    <row r="4" customFormat="false" ht="31.5" hidden="false" customHeight="true" outlineLevel="0" collapsed="false">
      <c r="A4" s="5" t="s">
        <v>121</v>
      </c>
      <c r="B4" s="5" t="s">
        <v>122</v>
      </c>
      <c r="C4" s="5" t="s">
        <v>123</v>
      </c>
      <c r="D4" s="5" t="s">
        <v>124</v>
      </c>
    </row>
    <row r="5" customFormat="false" ht="15" hidden="false" customHeight="false" outlineLevel="0" collapsed="false">
      <c r="A5" s="9" t="n">
        <v>0</v>
      </c>
      <c r="B5" s="24" t="n">
        <f aca="false">REBIRTH_COST_BASE*REBIRTH_COST_GROWTH^A5</f>
        <v>100000</v>
      </c>
      <c r="C5" s="25" t="n">
        <f aca="false">(1+REBIRTH_STEP*A5)*REBIRTH_KICKER^INT(A5/10)</f>
        <v>1</v>
      </c>
      <c r="D5" s="26" t="n">
        <f aca="false">((1+REBIRTH_STEP*(A5+1))*REBIRTH_KICKER^INT((A5+1)/10))/C5-1</f>
        <v>0.5</v>
      </c>
    </row>
    <row r="6" customFormat="false" ht="15" hidden="false" customHeight="false" outlineLevel="0" collapsed="false">
      <c r="A6" s="9" t="n">
        <v>1</v>
      </c>
      <c r="B6" s="24" t="n">
        <f aca="false">REBIRTH_COST_BASE*REBIRTH_COST_GROWTH^A6</f>
        <v>200000</v>
      </c>
      <c r="C6" s="25" t="n">
        <f aca="false">(1+REBIRTH_STEP*A6)*REBIRTH_KICKER^INT(A6/10)</f>
        <v>1.5</v>
      </c>
      <c r="D6" s="26" t="n">
        <f aca="false">((1+REBIRTH_STEP*(A6+1))*REBIRTH_KICKER^INT((A6+1)/10))/C6-1</f>
        <v>0.333333333333333</v>
      </c>
    </row>
    <row r="7" customFormat="false" ht="15" hidden="false" customHeight="false" outlineLevel="0" collapsed="false">
      <c r="A7" s="9" t="n">
        <v>2</v>
      </c>
      <c r="B7" s="24" t="n">
        <f aca="false">REBIRTH_COST_BASE*REBIRTH_COST_GROWTH^A7</f>
        <v>400000</v>
      </c>
      <c r="C7" s="25" t="n">
        <f aca="false">(1+REBIRTH_STEP*A7)*REBIRTH_KICKER^INT(A7/10)</f>
        <v>2</v>
      </c>
      <c r="D7" s="26" t="n">
        <f aca="false">((1+REBIRTH_STEP*(A7+1))*REBIRTH_KICKER^INT((A7+1)/10))/C7-1</f>
        <v>0.25</v>
      </c>
    </row>
    <row r="8" customFormat="false" ht="15" hidden="false" customHeight="false" outlineLevel="0" collapsed="false">
      <c r="A8" s="9" t="n">
        <v>3</v>
      </c>
      <c r="B8" s="24" t="n">
        <f aca="false">REBIRTH_COST_BASE*REBIRTH_COST_GROWTH^A8</f>
        <v>800000</v>
      </c>
      <c r="C8" s="25" t="n">
        <f aca="false">(1+REBIRTH_STEP*A8)*REBIRTH_KICKER^INT(A8/10)</f>
        <v>2.5</v>
      </c>
      <c r="D8" s="26" t="n">
        <f aca="false">((1+REBIRTH_STEP*(A8+1))*REBIRTH_KICKER^INT((A8+1)/10))/C8-1</f>
        <v>0.2</v>
      </c>
    </row>
    <row r="9" customFormat="false" ht="15" hidden="false" customHeight="false" outlineLevel="0" collapsed="false">
      <c r="A9" s="9" t="n">
        <v>4</v>
      </c>
      <c r="B9" s="24" t="n">
        <f aca="false">REBIRTH_COST_BASE*REBIRTH_COST_GROWTH^A9</f>
        <v>1600000</v>
      </c>
      <c r="C9" s="25" t="n">
        <f aca="false">(1+REBIRTH_STEP*A9)*REBIRTH_KICKER^INT(A9/10)</f>
        <v>3</v>
      </c>
      <c r="D9" s="26" t="n">
        <f aca="false">((1+REBIRTH_STEP*(A9+1))*REBIRTH_KICKER^INT((A9+1)/10))/C9-1</f>
        <v>0.166666666666667</v>
      </c>
    </row>
    <row r="10" customFormat="false" ht="15" hidden="false" customHeight="false" outlineLevel="0" collapsed="false">
      <c r="A10" s="9" t="n">
        <v>5</v>
      </c>
      <c r="B10" s="24" t="n">
        <f aca="false">REBIRTH_COST_BASE*REBIRTH_COST_GROWTH^A10</f>
        <v>3200000</v>
      </c>
      <c r="C10" s="25" t="n">
        <f aca="false">(1+REBIRTH_STEP*A10)*REBIRTH_KICKER^INT(A10/10)</f>
        <v>3.5</v>
      </c>
      <c r="D10" s="26" t="n">
        <f aca="false">((1+REBIRTH_STEP*(A10+1))*REBIRTH_KICKER^INT((A10+1)/10))/C10-1</f>
        <v>0.142857142857143</v>
      </c>
    </row>
    <row r="11" customFormat="false" ht="15" hidden="false" customHeight="false" outlineLevel="0" collapsed="false">
      <c r="A11" s="9" t="n">
        <v>6</v>
      </c>
      <c r="B11" s="24" t="n">
        <f aca="false">REBIRTH_COST_BASE*REBIRTH_COST_GROWTH^A11</f>
        <v>6400000</v>
      </c>
      <c r="C11" s="25" t="n">
        <f aca="false">(1+REBIRTH_STEP*A11)*REBIRTH_KICKER^INT(A11/10)</f>
        <v>4</v>
      </c>
      <c r="D11" s="26" t="n">
        <f aca="false">((1+REBIRTH_STEP*(A11+1))*REBIRTH_KICKER^INT((A11+1)/10))/C11-1</f>
        <v>0.125</v>
      </c>
    </row>
    <row r="12" customFormat="false" ht="15" hidden="false" customHeight="false" outlineLevel="0" collapsed="false">
      <c r="A12" s="9" t="n">
        <v>7</v>
      </c>
      <c r="B12" s="24" t="n">
        <f aca="false">REBIRTH_COST_BASE*REBIRTH_COST_GROWTH^A12</f>
        <v>12800000</v>
      </c>
      <c r="C12" s="25" t="n">
        <f aca="false">(1+REBIRTH_STEP*A12)*REBIRTH_KICKER^INT(A12/10)</f>
        <v>4.5</v>
      </c>
      <c r="D12" s="26" t="n">
        <f aca="false">((1+REBIRTH_STEP*(A12+1))*REBIRTH_KICKER^INT((A12+1)/10))/C12-1</f>
        <v>0.111111111111111</v>
      </c>
    </row>
    <row r="13" customFormat="false" ht="15" hidden="false" customHeight="false" outlineLevel="0" collapsed="false">
      <c r="A13" s="9" t="n">
        <v>8</v>
      </c>
      <c r="B13" s="24" t="n">
        <f aca="false">REBIRTH_COST_BASE*REBIRTH_COST_GROWTH^A13</f>
        <v>25600000</v>
      </c>
      <c r="C13" s="25" t="n">
        <f aca="false">(1+REBIRTH_STEP*A13)*REBIRTH_KICKER^INT(A13/10)</f>
        <v>5</v>
      </c>
      <c r="D13" s="26" t="n">
        <f aca="false">((1+REBIRTH_STEP*(A13+1))*REBIRTH_KICKER^INT((A13+1)/10))/C13-1</f>
        <v>0.1</v>
      </c>
    </row>
    <row r="14" customFormat="false" ht="15" hidden="false" customHeight="false" outlineLevel="0" collapsed="false">
      <c r="A14" s="9" t="n">
        <v>9</v>
      </c>
      <c r="B14" s="24" t="n">
        <f aca="false">REBIRTH_COST_BASE*REBIRTH_COST_GROWTH^A14</f>
        <v>51200000</v>
      </c>
      <c r="C14" s="25" t="n">
        <f aca="false">(1+REBIRTH_STEP*A14)*REBIRTH_KICKER^INT(A14/10)</f>
        <v>5.5</v>
      </c>
      <c r="D14" s="26" t="n">
        <f aca="false">((1+REBIRTH_STEP*(A14+1))*REBIRTH_KICKER^INT((A14+1)/10))/C14-1</f>
        <v>0.2</v>
      </c>
    </row>
    <row r="15" customFormat="false" ht="15" hidden="false" customHeight="false" outlineLevel="0" collapsed="false">
      <c r="A15" s="9" t="n">
        <v>10</v>
      </c>
      <c r="B15" s="24" t="n">
        <f aca="false">REBIRTH_COST_BASE*REBIRTH_COST_GROWTH^A15</f>
        <v>102400000</v>
      </c>
      <c r="C15" s="25" t="n">
        <f aca="false">(1+REBIRTH_STEP*A15)*REBIRTH_KICKER^INT(A15/10)</f>
        <v>6.6</v>
      </c>
      <c r="D15" s="26" t="n">
        <f aca="false">((1+REBIRTH_STEP*(A15+1))*REBIRTH_KICKER^INT((A15+1)/10))/C15-1</f>
        <v>0.0833333333333333</v>
      </c>
    </row>
    <row r="16" customFormat="false" ht="15" hidden="false" customHeight="false" outlineLevel="0" collapsed="false">
      <c r="A16" s="9" t="n">
        <v>11</v>
      </c>
      <c r="B16" s="24" t="n">
        <f aca="false">REBIRTH_COST_BASE*REBIRTH_COST_GROWTH^A16</f>
        <v>204800000</v>
      </c>
      <c r="C16" s="25" t="n">
        <f aca="false">(1+REBIRTH_STEP*A16)*REBIRTH_KICKER^INT(A16/10)</f>
        <v>7.15</v>
      </c>
      <c r="D16" s="26" t="n">
        <f aca="false">((1+REBIRTH_STEP*(A16+1))*REBIRTH_KICKER^INT((A16+1)/10))/C16-1</f>
        <v>0.0769230769230771</v>
      </c>
    </row>
    <row r="17" customFormat="false" ht="15" hidden="false" customHeight="false" outlineLevel="0" collapsed="false">
      <c r="A17" s="9" t="n">
        <v>12</v>
      </c>
      <c r="B17" s="24" t="n">
        <f aca="false">REBIRTH_COST_BASE*REBIRTH_COST_GROWTH^A17</f>
        <v>409600000</v>
      </c>
      <c r="C17" s="25" t="n">
        <f aca="false">(1+REBIRTH_STEP*A17)*REBIRTH_KICKER^INT(A17/10)</f>
        <v>7.7</v>
      </c>
      <c r="D17" s="26" t="n">
        <f aca="false">((1+REBIRTH_STEP*(A17+1))*REBIRTH_KICKER^INT((A17+1)/10))/C17-1</f>
        <v>0.0714285714285712</v>
      </c>
    </row>
    <row r="18" customFormat="false" ht="15" hidden="false" customHeight="false" outlineLevel="0" collapsed="false">
      <c r="A18" s="9" t="n">
        <v>13</v>
      </c>
      <c r="B18" s="24" t="n">
        <f aca="false">REBIRTH_COST_BASE*REBIRTH_COST_GROWTH^A18</f>
        <v>819200000</v>
      </c>
      <c r="C18" s="25" t="n">
        <f aca="false">(1+REBIRTH_STEP*A18)*REBIRTH_KICKER^INT(A18/10)</f>
        <v>8.25</v>
      </c>
      <c r="D18" s="26" t="n">
        <f aca="false">((1+REBIRTH_STEP*(A18+1))*REBIRTH_KICKER^INT((A18+1)/10))/C18-1</f>
        <v>0.0666666666666667</v>
      </c>
    </row>
    <row r="19" customFormat="false" ht="15" hidden="false" customHeight="false" outlineLevel="0" collapsed="false">
      <c r="A19" s="9" t="n">
        <v>14</v>
      </c>
      <c r="B19" s="24" t="n">
        <f aca="false">REBIRTH_COST_BASE*REBIRTH_COST_GROWTH^A19</f>
        <v>1638400000</v>
      </c>
      <c r="C19" s="25" t="n">
        <f aca="false">(1+REBIRTH_STEP*A19)*REBIRTH_KICKER^INT(A19/10)</f>
        <v>8.8</v>
      </c>
      <c r="D19" s="26" t="n">
        <f aca="false">((1+REBIRTH_STEP*(A19+1))*REBIRTH_KICKER^INT((A19+1)/10))/C19-1</f>
        <v>0.0625</v>
      </c>
    </row>
    <row r="20" customFormat="false" ht="15" hidden="false" customHeight="false" outlineLevel="0" collapsed="false">
      <c r="A20" s="9" t="n">
        <v>15</v>
      </c>
      <c r="B20" s="24" t="n">
        <f aca="false">REBIRTH_COST_BASE*REBIRTH_COST_GROWTH^A20</f>
        <v>3276800000</v>
      </c>
      <c r="C20" s="25" t="n">
        <f aca="false">(1+REBIRTH_STEP*A20)*REBIRTH_KICKER^INT(A20/10)</f>
        <v>9.35</v>
      </c>
      <c r="D20" s="26" t="n">
        <f aca="false">((1+REBIRTH_STEP*(A20+1))*REBIRTH_KICKER^INT((A20+1)/10))/C20-1</f>
        <v>0.0588235294117645</v>
      </c>
    </row>
    <row r="21" customFormat="false" ht="15" hidden="false" customHeight="false" outlineLevel="0" collapsed="false">
      <c r="A21" s="9" t="n">
        <v>16</v>
      </c>
      <c r="B21" s="24" t="n">
        <f aca="false">REBIRTH_COST_BASE*REBIRTH_COST_GROWTH^A21</f>
        <v>6553600000</v>
      </c>
      <c r="C21" s="25" t="n">
        <f aca="false">(1+REBIRTH_STEP*A21)*REBIRTH_KICKER^INT(A21/10)</f>
        <v>9.9</v>
      </c>
      <c r="D21" s="26" t="n">
        <f aca="false">((1+REBIRTH_STEP*(A21+1))*REBIRTH_KICKER^INT((A21+1)/10))/C21-1</f>
        <v>0.0555555555555556</v>
      </c>
    </row>
    <row r="22" customFormat="false" ht="15" hidden="false" customHeight="false" outlineLevel="0" collapsed="false">
      <c r="A22" s="9" t="n">
        <v>17</v>
      </c>
      <c r="B22" s="24" t="n">
        <f aca="false">REBIRTH_COST_BASE*REBIRTH_COST_GROWTH^A22</f>
        <v>13107200000</v>
      </c>
      <c r="C22" s="25" t="n">
        <f aca="false">(1+REBIRTH_STEP*A22)*REBIRTH_KICKER^INT(A22/10)</f>
        <v>10.45</v>
      </c>
      <c r="D22" s="26" t="n">
        <f aca="false">((1+REBIRTH_STEP*(A22+1))*REBIRTH_KICKER^INT((A22+1)/10))/C22-1</f>
        <v>0.0526315789473684</v>
      </c>
    </row>
    <row r="23" customFormat="false" ht="15" hidden="false" customHeight="false" outlineLevel="0" collapsed="false">
      <c r="A23" s="9" t="n">
        <v>18</v>
      </c>
      <c r="B23" s="24" t="n">
        <f aca="false">REBIRTH_COST_BASE*REBIRTH_COST_GROWTH^A23</f>
        <v>26214400000</v>
      </c>
      <c r="C23" s="25" t="n">
        <f aca="false">(1+REBIRTH_STEP*A23)*REBIRTH_KICKER^INT(A23/10)</f>
        <v>11</v>
      </c>
      <c r="D23" s="26" t="n">
        <f aca="false">((1+REBIRTH_STEP*(A23+1))*REBIRTH_KICKER^INT((A23+1)/10))/C23-1</f>
        <v>0.05</v>
      </c>
    </row>
    <row r="24" customFormat="false" ht="15" hidden="false" customHeight="false" outlineLevel="0" collapsed="false">
      <c r="A24" s="9" t="n">
        <v>19</v>
      </c>
      <c r="B24" s="24" t="n">
        <f aca="false">REBIRTH_COST_BASE*REBIRTH_COST_GROWTH^A24</f>
        <v>52428800000</v>
      </c>
      <c r="C24" s="25" t="n">
        <f aca="false">(1+REBIRTH_STEP*A24)*REBIRTH_KICKER^INT(A24/10)</f>
        <v>11.55</v>
      </c>
      <c r="D24" s="26" t="n">
        <f aca="false">((1+REBIRTH_STEP*(A24+1))*REBIRTH_KICKER^INT((A24+1)/10))/C24-1</f>
        <v>0.152380952380953</v>
      </c>
    </row>
    <row r="25" customFormat="false" ht="15" hidden="false" customHeight="false" outlineLevel="0" collapsed="false">
      <c r="A25" s="9" t="n">
        <v>20</v>
      </c>
      <c r="B25" s="24" t="n">
        <f aca="false">REBIRTH_COST_BASE*REBIRTH_COST_GROWTH^A25</f>
        <v>104857600000</v>
      </c>
      <c r="C25" s="25" t="n">
        <f aca="false">(1+REBIRTH_STEP*A25)*REBIRTH_KICKER^INT(A25/10)</f>
        <v>13.31</v>
      </c>
      <c r="D25" s="26" t="n">
        <f aca="false">((1+REBIRTH_STEP*(A25+1))*REBIRTH_KICKER^INT((A25+1)/10))/C25-1</f>
        <v>0.0454545454545454</v>
      </c>
    </row>
    <row r="26" customFormat="false" ht="15" hidden="false" customHeight="false" outlineLevel="0" collapsed="false">
      <c r="A26" s="9" t="n">
        <v>21</v>
      </c>
      <c r="B26" s="24" t="n">
        <f aca="false">REBIRTH_COST_BASE*REBIRTH_COST_GROWTH^A26</f>
        <v>209715200000</v>
      </c>
      <c r="C26" s="25" t="n">
        <f aca="false">(1+REBIRTH_STEP*A26)*REBIRTH_KICKER^INT(A26/10)</f>
        <v>13.915</v>
      </c>
      <c r="D26" s="26" t="n">
        <f aca="false">((1+REBIRTH_STEP*(A26+1))*REBIRTH_KICKER^INT((A26+1)/10))/C26-1</f>
        <v>0.0434782608695652</v>
      </c>
    </row>
    <row r="27" customFormat="false" ht="15" hidden="false" customHeight="false" outlineLevel="0" collapsed="false">
      <c r="A27" s="9" t="n">
        <v>22</v>
      </c>
      <c r="B27" s="24" t="n">
        <f aca="false">REBIRTH_COST_BASE*REBIRTH_COST_GROWTH^A27</f>
        <v>419430400000</v>
      </c>
      <c r="C27" s="25" t="n">
        <f aca="false">(1+REBIRTH_STEP*A27)*REBIRTH_KICKER^INT(A27/10)</f>
        <v>14.52</v>
      </c>
      <c r="D27" s="26" t="n">
        <f aca="false">((1+REBIRTH_STEP*(A27+1))*REBIRTH_KICKER^INT((A27+1)/10))/C27-1</f>
        <v>0.0416666666666665</v>
      </c>
    </row>
    <row r="28" customFormat="false" ht="15" hidden="false" customHeight="false" outlineLevel="0" collapsed="false">
      <c r="A28" s="9" t="n">
        <v>23</v>
      </c>
      <c r="B28" s="24" t="n">
        <f aca="false">REBIRTH_COST_BASE*REBIRTH_COST_GROWTH^A28</f>
        <v>838860800000</v>
      </c>
      <c r="C28" s="25" t="n">
        <f aca="false">(1+REBIRTH_STEP*A28)*REBIRTH_KICKER^INT(A28/10)</f>
        <v>15.125</v>
      </c>
      <c r="D28" s="26" t="n">
        <f aca="false">((1+REBIRTH_STEP*(A28+1))*REBIRTH_KICKER^INT((A28+1)/10))/C28-1</f>
        <v>0.04</v>
      </c>
    </row>
    <row r="29" customFormat="false" ht="15" hidden="false" customHeight="false" outlineLevel="0" collapsed="false">
      <c r="A29" s="9" t="n">
        <v>24</v>
      </c>
      <c r="B29" s="24" t="n">
        <f aca="false">REBIRTH_COST_BASE*REBIRTH_COST_GROWTH^A29</f>
        <v>1677721600000</v>
      </c>
      <c r="C29" s="25" t="n">
        <f aca="false">(1+REBIRTH_STEP*A29)*REBIRTH_KICKER^INT(A29/10)</f>
        <v>15.73</v>
      </c>
      <c r="D29" s="26" t="n">
        <f aca="false">((1+REBIRTH_STEP*(A29+1))*REBIRTH_KICKER^INT((A29+1)/10))/C29-1</f>
        <v>0.0384615384615383</v>
      </c>
    </row>
    <row r="30" customFormat="false" ht="15" hidden="false" customHeight="false" outlineLevel="0" collapsed="false">
      <c r="A30" s="9" t="n">
        <v>25</v>
      </c>
      <c r="B30" s="24" t="n">
        <f aca="false">REBIRTH_COST_BASE*REBIRTH_COST_GROWTH^A30</f>
        <v>3355443200000</v>
      </c>
      <c r="C30" s="25" t="n">
        <f aca="false">(1+REBIRTH_STEP*A30)*REBIRTH_KICKER^INT(A30/10)</f>
        <v>16.335</v>
      </c>
      <c r="D30" s="26" t="n">
        <f aca="false">((1+REBIRTH_STEP*(A30+1))*REBIRTH_KICKER^INT((A30+1)/10))/C30-1</f>
        <v>0.037037037037037</v>
      </c>
    </row>
    <row r="31" customFormat="false" ht="15" hidden="false" customHeight="false" outlineLevel="0" collapsed="false">
      <c r="A31" s="9" t="n">
        <v>26</v>
      </c>
      <c r="B31" s="24" t="n">
        <f aca="false">REBIRTH_COST_BASE*REBIRTH_COST_GROWTH^A31</f>
        <v>6710886400000</v>
      </c>
      <c r="C31" s="25" t="n">
        <f aca="false">(1+REBIRTH_STEP*A31)*REBIRTH_KICKER^INT(A31/10)</f>
        <v>16.94</v>
      </c>
      <c r="D31" s="26" t="n">
        <f aca="false">((1+REBIRTH_STEP*(A31+1))*REBIRTH_KICKER^INT((A31+1)/10))/C31-1</f>
        <v>0.0357142857142858</v>
      </c>
    </row>
    <row r="32" customFormat="false" ht="15" hidden="false" customHeight="false" outlineLevel="0" collapsed="false">
      <c r="A32" s="9" t="n">
        <v>27</v>
      </c>
      <c r="B32" s="24" t="n">
        <f aca="false">REBIRTH_COST_BASE*REBIRTH_COST_GROWTH^A32</f>
        <v>13421772800000</v>
      </c>
      <c r="C32" s="25" t="n">
        <f aca="false">(1+REBIRTH_STEP*A32)*REBIRTH_KICKER^INT(A32/10)</f>
        <v>17.545</v>
      </c>
      <c r="D32" s="26" t="n">
        <f aca="false">((1+REBIRTH_STEP*(A32+1))*REBIRTH_KICKER^INT((A32+1)/10))/C32-1</f>
        <v>0.0344827586206897</v>
      </c>
    </row>
    <row r="33" customFormat="false" ht="15" hidden="false" customHeight="false" outlineLevel="0" collapsed="false">
      <c r="A33" s="9" t="n">
        <v>28</v>
      </c>
      <c r="B33" s="24" t="n">
        <f aca="false">REBIRTH_COST_BASE*REBIRTH_COST_GROWTH^A33</f>
        <v>26843545600000</v>
      </c>
      <c r="C33" s="25" t="n">
        <f aca="false">(1+REBIRTH_STEP*A33)*REBIRTH_KICKER^INT(A33/10)</f>
        <v>18.15</v>
      </c>
      <c r="D33" s="26" t="n">
        <f aca="false">((1+REBIRTH_STEP*(A33+1))*REBIRTH_KICKER^INT((A33+1)/10))/C33-1</f>
        <v>0.0333333333333334</v>
      </c>
    </row>
    <row r="34" customFormat="false" ht="15" hidden="false" customHeight="false" outlineLevel="0" collapsed="false">
      <c r="A34" s="9" t="n">
        <v>29</v>
      </c>
      <c r="B34" s="24" t="n">
        <f aca="false">REBIRTH_COST_BASE*REBIRTH_COST_GROWTH^A34</f>
        <v>53687091200000</v>
      </c>
      <c r="C34" s="25" t="n">
        <f aca="false">(1+REBIRTH_STEP*A34)*REBIRTH_KICKER^INT(A34/10)</f>
        <v>18.755</v>
      </c>
      <c r="D34" s="26" t="n">
        <f aca="false">((1+REBIRTH_STEP*(A34+1))*REBIRTH_KICKER^INT((A34+1)/10))/C34-1</f>
        <v>0.135483870967742</v>
      </c>
    </row>
    <row r="35" customFormat="false" ht="15" hidden="false" customHeight="false" outlineLevel="0" collapsed="false">
      <c r="A35" s="9" t="n">
        <v>30</v>
      </c>
      <c r="B35" s="24" t="n">
        <f aca="false">REBIRTH_COST_BASE*REBIRTH_COST_GROWTH^A35</f>
        <v>107374182400000</v>
      </c>
      <c r="C35" s="25" t="n">
        <f aca="false">(1+REBIRTH_STEP*A35)*REBIRTH_KICKER^INT(A35/10)</f>
        <v>21.296</v>
      </c>
      <c r="D35" s="26" t="n">
        <f aca="false">((1+REBIRTH_STEP*(A35+1))*REBIRTH_KICKER^INT((A35+1)/10))/C35-1</f>
        <v>0.03125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9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7" min="16" style="0" width="10"/>
    <col collapsed="false" customWidth="true" hidden="false" outlineLevel="0" max="19" min="18" style="0" width="12"/>
    <col collapsed="false" customWidth="true" hidden="false" outlineLevel="0" max="20" min="20" style="0" width="9"/>
    <col collapsed="false" customWidth="true" hidden="false" outlineLevel="0" max="21" min="21" style="0" width="13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9"/>
    <col collapsed="false" customWidth="true" hidden="false" outlineLevel="0" max="26" min="25" style="0" width="10"/>
    <col collapsed="false" customWidth="true" hidden="false" outlineLevel="0" max="27" min="27" style="0" width="9"/>
    <col collapsed="false" customWidth="true" hidden="false" outlineLevel="0" max="28" min="28" style="0" width="10"/>
  </cols>
  <sheetData>
    <row r="1" customFormat="false" ht="17.35" hidden="false" customHeight="false" outlineLevel="0" collapsed="false">
      <c r="A1" s="4" t="s">
        <v>125</v>
      </c>
    </row>
    <row r="2" customFormat="false" ht="15" hidden="false" customHeight="false" outlineLevel="0" collapsed="false">
      <c r="A2" s="23" t="s">
        <v>126</v>
      </c>
    </row>
    <row r="4" customFormat="false" ht="31.5" hidden="false" customHeight="true" outlineLevel="0" collapsed="false">
      <c r="A4" s="5" t="s">
        <v>115</v>
      </c>
      <c r="B4" s="5" t="s">
        <v>127</v>
      </c>
      <c r="C4" s="5" t="s">
        <v>128</v>
      </c>
      <c r="D4" s="5" t="s">
        <v>129</v>
      </c>
      <c r="E4" s="5" t="s">
        <v>130</v>
      </c>
      <c r="F4" s="5" t="s">
        <v>131</v>
      </c>
      <c r="G4" s="5" t="s">
        <v>132</v>
      </c>
      <c r="H4" s="5" t="s">
        <v>133</v>
      </c>
      <c r="I4" s="5" t="s">
        <v>134</v>
      </c>
      <c r="J4" s="5" t="s">
        <v>135</v>
      </c>
      <c r="K4" s="5" t="s">
        <v>136</v>
      </c>
      <c r="L4" s="5" t="s">
        <v>137</v>
      </c>
      <c r="M4" s="5" t="s">
        <v>138</v>
      </c>
      <c r="N4" s="5" t="s">
        <v>139</v>
      </c>
      <c r="O4" s="5" t="s">
        <v>140</v>
      </c>
      <c r="P4" s="5" t="s">
        <v>141</v>
      </c>
      <c r="Q4" s="5" t="s">
        <v>142</v>
      </c>
      <c r="R4" s="5" t="s">
        <v>143</v>
      </c>
      <c r="S4" s="5" t="s">
        <v>144</v>
      </c>
      <c r="T4" s="5" t="s">
        <v>145</v>
      </c>
      <c r="U4" s="5" t="s">
        <v>146</v>
      </c>
      <c r="V4" s="5" t="s">
        <v>147</v>
      </c>
      <c r="W4" s="5" t="s">
        <v>148</v>
      </c>
      <c r="X4" s="5" t="s">
        <v>149</v>
      </c>
      <c r="Y4" s="5" t="s">
        <v>150</v>
      </c>
      <c r="Z4" s="5" t="s">
        <v>151</v>
      </c>
      <c r="AA4" s="5" t="s">
        <v>152</v>
      </c>
      <c r="AB4" s="5" t="s">
        <v>153</v>
      </c>
    </row>
    <row r="5" customFormat="false" ht="15" hidden="false" customHeight="false" outlineLevel="0" collapsed="false">
      <c r="A5" s="9" t="n">
        <v>1</v>
      </c>
      <c r="B5" s="20" t="s">
        <v>154</v>
      </c>
      <c r="C5" s="27" t="n">
        <v>3</v>
      </c>
      <c r="D5" s="20" t="s">
        <v>64</v>
      </c>
      <c r="E5" s="27" t="n">
        <v>0</v>
      </c>
      <c r="F5" s="28" t="n">
        <v>1</v>
      </c>
      <c r="G5" s="29" t="n">
        <f aca="false">PET_BASE_BONUS*PET_GROWTH^(A5-1)*INDEX(RARITY_FACTOR,MATCH(D5,RARITY_NAMES,0))</f>
        <v>0.6</v>
      </c>
      <c r="H5" s="29" t="n">
        <f aca="false">1+C5*G5</f>
        <v>2.8</v>
      </c>
      <c r="I5" s="30" t="n">
        <f aca="false">INDEX(REB_MULT,MATCH(E5,REB_R,0))</f>
        <v>1</v>
      </c>
      <c r="J5" s="29" t="n">
        <f aca="false">BASE_EPC*H5*I5</f>
        <v>2.8</v>
      </c>
      <c r="K5" s="31" t="n">
        <f aca="false">Enemies!G6</f>
        <v>1000000</v>
      </c>
      <c r="L5" s="24" t="n">
        <f aca="false">K5/(TTK_BOSS_TARGET*SWING_RATE*DPE*F5*CRIT_AVG)</f>
        <v>7936.50793650794</v>
      </c>
      <c r="M5" s="32" t="n">
        <f aca="false">L5/(J5*CPS*60)</f>
        <v>7.87351977828168</v>
      </c>
      <c r="N5" s="24" t="n">
        <f aca="false">START_ENERGY</f>
        <v>500</v>
      </c>
      <c r="O5" s="32" t="n">
        <f aca="false">Enemies!B6/(N5*DPE*F5*CRIT_AVG*SWING_RATE)</f>
        <v>2.38095238095238</v>
      </c>
      <c r="P5" s="22" t="str">
        <f aca="false">IF(O5&lt;=ARRIVAL_TTK_MAX,"OK","Too slow")</f>
        <v>OK</v>
      </c>
      <c r="Q5" s="32" t="n">
        <f aca="false">INDEX(Enemies!B6:G6,MATCH(FARM_TIER,TIER_NAMES,0))/(((N5+L5)/2)*DPE*F5*CRIT_AVG*SWING_RATE)</f>
        <v>4.23330197554092</v>
      </c>
      <c r="R5" s="24" t="n">
        <f aca="false">60/(Q5+KILL_OVERHEAD_S)*INDEX(Enemies!B18:G18,MATCH(FARM_TIER,TIER_NAMES,0))</f>
        <v>104.651735171056</v>
      </c>
      <c r="S5" s="24" t="n">
        <f aca="false">EGG_COST_BASE*EGG_COST_GROWTH^(A5-1)</f>
        <v>25</v>
      </c>
      <c r="T5" s="32" t="n">
        <f aca="false">R5/S5</f>
        <v>4.18606940684223</v>
      </c>
      <c r="U5" s="24" t="n">
        <f aca="false">UNLOCK_COST_BASE*UNLOCK_COST_GROWTH^(A5-1)</f>
        <v>1200</v>
      </c>
      <c r="V5" s="32" t="n">
        <f aca="false">U5/R5</f>
        <v>11.4666039510818</v>
      </c>
      <c r="W5" s="33" t="n">
        <v>0</v>
      </c>
      <c r="X5" s="32" t="n">
        <f aca="false">(MAX(M5,V5)+W5)/60</f>
        <v>0.191110065851364</v>
      </c>
      <c r="Y5" s="32" t="n">
        <f aca="false">X5</f>
        <v>0.191110065851364</v>
      </c>
      <c r="Z5" s="32" t="n">
        <f aca="false">Y5/HOURS_PER_DAY</f>
        <v>0.095555032925682</v>
      </c>
      <c r="AA5" s="17" t="n">
        <v>0.25</v>
      </c>
      <c r="AB5" s="22" t="str">
        <f aca="false">IF(ABS(X5-AA5)&lt;=0.3*AA5,"On pace",IF(X5&lt;AA5,"Too fast","Too slow"))</f>
        <v>On pace</v>
      </c>
    </row>
    <row r="6" customFormat="false" ht="15" hidden="false" customHeight="false" outlineLevel="0" collapsed="false">
      <c r="A6" s="9" t="n">
        <v>2</v>
      </c>
      <c r="B6" s="20" t="s">
        <v>155</v>
      </c>
      <c r="C6" s="27" t="n">
        <v>4</v>
      </c>
      <c r="D6" s="20" t="s">
        <v>64</v>
      </c>
      <c r="E6" s="27" t="n">
        <v>1</v>
      </c>
      <c r="F6" s="28" t="n">
        <v>1.6</v>
      </c>
      <c r="G6" s="29" t="n">
        <f aca="false">PET_BASE_BONUS*PET_GROWTH^(A6-1)*INDEX(RARITY_FACTOR,MATCH(D6,RARITY_NAMES,0))</f>
        <v>2.17433899103309</v>
      </c>
      <c r="H6" s="29" t="n">
        <f aca="false">1+C6*G6</f>
        <v>9.69735596413235</v>
      </c>
      <c r="I6" s="30" t="n">
        <f aca="false">INDEX(REB_MULT,MATCH(E6,REB_R,0))</f>
        <v>1.5</v>
      </c>
      <c r="J6" s="29" t="n">
        <f aca="false">BASE_EPC*H6*I6</f>
        <v>14.5460339461985</v>
      </c>
      <c r="K6" s="31" t="n">
        <f aca="false">Enemies!G7</f>
        <v>25000000</v>
      </c>
      <c r="L6" s="24" t="n">
        <f aca="false">K6/(TTK_BOSS_TARGET*SWING_RATE*DPE*F6*CRIT_AVG)</f>
        <v>124007.936507937</v>
      </c>
      <c r="M6" s="32" t="n">
        <f aca="false">L6/(J6*CPS*60)</f>
        <v>23.6811278987732</v>
      </c>
      <c r="N6" s="24" t="n">
        <f aca="false">L5</f>
        <v>7936.50793650794</v>
      </c>
      <c r="O6" s="32" t="n">
        <f aca="false">Enemies!B7/(N6*DPE*F6*CRIT_AVG*SWING_RATE)</f>
        <v>2.34375</v>
      </c>
      <c r="P6" s="22" t="str">
        <f aca="false">IF(O6&lt;=ARRIVAL_TTK_MAX,"OK","Too slow")</f>
        <v>OK</v>
      </c>
      <c r="Q6" s="32" t="n">
        <f aca="false">INDEX(Enemies!B7:G7,MATCH(FARM_TIER,TIER_NAMES,0))/(((N6+L6)/2)*DPE*F6*CRIT_AVG*SWING_RATE)</f>
        <v>4.22932330827068</v>
      </c>
      <c r="R6" s="24" t="n">
        <f aca="false">60/(Q6+KILL_OVERHEAD_S)*INDEX(Enemies!B19:G19,MATCH(FARM_TIER,TIER_NAMES,0))</f>
        <v>2618.11023622047</v>
      </c>
      <c r="S6" s="24" t="n">
        <f aca="false">EGG_COST_BASE*EGG_COST_GROWTH^(A6-1)</f>
        <v>625</v>
      </c>
      <c r="T6" s="32" t="n">
        <f aca="false">R6/S6</f>
        <v>4.18897637795276</v>
      </c>
      <c r="U6" s="24" t="n">
        <f aca="false">UNLOCK_COST_BASE*UNLOCK_COST_GROWTH^(A6-1)</f>
        <v>54000</v>
      </c>
      <c r="V6" s="32" t="n">
        <f aca="false">U6/R6</f>
        <v>20.6255639097744</v>
      </c>
      <c r="W6" s="33" t="n">
        <f aca="false">SUMPRODUCT((REB_R&gt;=E5)*(REB_R&lt;E6)*REB_COST/REB_MULT)/(BASE_EPC*H5*CPS*60)</f>
        <v>99.2063492063492</v>
      </c>
      <c r="X6" s="32" t="n">
        <f aca="false">(MAX(M6,V6)+W6)/60</f>
        <v>2.04812461841871</v>
      </c>
      <c r="Y6" s="32" t="n">
        <f aca="false">Y5+X6</f>
        <v>2.23923468427007</v>
      </c>
      <c r="Z6" s="32" t="n">
        <f aca="false">Y6/HOURS_PER_DAY</f>
        <v>1.11961734213504</v>
      </c>
      <c r="AA6" s="17" t="n">
        <v>2</v>
      </c>
      <c r="AB6" s="22" t="str">
        <f aca="false">IF(ABS(X6-AA6)&lt;=0.3*AA6,"On pace",IF(X6&lt;AA6,"Too fast","Too slow"))</f>
        <v>On pace</v>
      </c>
    </row>
    <row r="7" customFormat="false" ht="15" hidden="false" customHeight="false" outlineLevel="0" collapsed="false">
      <c r="A7" s="9" t="n">
        <v>3</v>
      </c>
      <c r="B7" s="20" t="s">
        <v>156</v>
      </c>
      <c r="C7" s="27" t="n">
        <v>4</v>
      </c>
      <c r="D7" s="20" t="s">
        <v>67</v>
      </c>
      <c r="E7" s="27" t="n">
        <v>3</v>
      </c>
      <c r="F7" s="28" t="n">
        <v>2.6</v>
      </c>
      <c r="G7" s="29" t="n">
        <f aca="false">PET_BASE_BONUS*PET_GROWTH^(A7-1)*INDEX(RARITY_FACTOR,MATCH(D7,RARITY_NAMES,0))</f>
        <v>13.1326390220188</v>
      </c>
      <c r="H7" s="29" t="n">
        <f aca="false">1+C7*G7</f>
        <v>53.5305560880754</v>
      </c>
      <c r="I7" s="30" t="n">
        <f aca="false">INDEX(REB_MULT,MATCH(E7,REB_R,0))</f>
        <v>2.5</v>
      </c>
      <c r="J7" s="29" t="n">
        <f aca="false">BASE_EPC*H7*I7</f>
        <v>133.826390220188</v>
      </c>
      <c r="K7" s="31" t="n">
        <f aca="false">Enemies!G8</f>
        <v>625000000</v>
      </c>
      <c r="L7" s="24" t="n">
        <f aca="false">K7/(TTK_BOSS_TARGET*SWING_RATE*DPE*F7*CRIT_AVG)</f>
        <v>1907814.40781441</v>
      </c>
      <c r="M7" s="32" t="n">
        <f aca="false">L7/(J7*CPS*60)</f>
        <v>39.5996967222365</v>
      </c>
      <c r="N7" s="24" t="n">
        <f aca="false">L6</f>
        <v>124007.936507937</v>
      </c>
      <c r="O7" s="32" t="n">
        <f aca="false">Enemies!B8/(N7*DPE*F7*CRIT_AVG*SWING_RATE)</f>
        <v>2.30769230769231</v>
      </c>
      <c r="P7" s="22" t="str">
        <f aca="false">IF(O7&lt;=ARRIVAL_TTK_MAX,"OK","Too slow")</f>
        <v>OK</v>
      </c>
      <c r="Q7" s="32" t="n">
        <f aca="false">INDEX(Enemies!B8:G8,MATCH(FARM_TIER,TIER_NAMES,0))/(((N7+L7)/2)*DPE*F7*CRIT_AVG*SWING_RATE)</f>
        <v>4.22535211267606</v>
      </c>
      <c r="R7" s="24" t="n">
        <f aca="false">60/(Q7+KILL_OVERHEAD_S)*INDEX(Enemies!B20:G20,MATCH(FARM_TIER,TIER_NAMES,0))</f>
        <v>65498.1549815498</v>
      </c>
      <c r="S7" s="24" t="n">
        <f aca="false">EGG_COST_BASE*EGG_COST_GROWTH^(A7-1)</f>
        <v>15625</v>
      </c>
      <c r="T7" s="32" t="n">
        <f aca="false">R7/S7</f>
        <v>4.19188191881919</v>
      </c>
      <c r="U7" s="24" t="n">
        <f aca="false">UNLOCK_COST_BASE*UNLOCK_COST_GROWTH^(A7-1)</f>
        <v>2430000</v>
      </c>
      <c r="V7" s="32" t="n">
        <f aca="false">U7/R7</f>
        <v>37.1002816901409</v>
      </c>
      <c r="W7" s="33" t="n">
        <f aca="false">SUMPRODUCT((REB_R&gt;=E6)*(REB_R&lt;E7)*REB_COST/REB_MULT)/(BASE_EPC*H6*CPS*60)</f>
        <v>95.4823076878535</v>
      </c>
      <c r="X7" s="32" t="n">
        <f aca="false">(MAX(M7,V7)+W7)/60</f>
        <v>2.25136674016817</v>
      </c>
      <c r="Y7" s="32" t="n">
        <f aca="false">Y6+X7</f>
        <v>4.49060142443824</v>
      </c>
      <c r="Z7" s="32" t="n">
        <f aca="false">Y7/HOURS_PER_DAY</f>
        <v>2.24530071221912</v>
      </c>
      <c r="AA7" s="17" t="n">
        <v>2.5</v>
      </c>
      <c r="AB7" s="22" t="str">
        <f aca="false">IF(ABS(X7-AA7)&lt;=0.3*AA7,"On pace",IF(X7&lt;AA7,"Too fast","Too slow"))</f>
        <v>On pace</v>
      </c>
    </row>
    <row r="8" customFormat="false" ht="15" hidden="false" customHeight="false" outlineLevel="0" collapsed="false">
      <c r="A8" s="9" t="n">
        <v>4</v>
      </c>
      <c r="B8" s="20" t="s">
        <v>156</v>
      </c>
      <c r="C8" s="27" t="n">
        <v>5</v>
      </c>
      <c r="D8" s="20" t="s">
        <v>67</v>
      </c>
      <c r="E8" s="27" t="n">
        <v>6</v>
      </c>
      <c r="F8" s="28" t="n">
        <v>4.2</v>
      </c>
      <c r="G8" s="29" t="n">
        <f aca="false">PET_BASE_BONUS*PET_GROWTH^(A8-1)*INDEX(RARITY_FACTOR,MATCH(D8,RARITY_NAMES,0))</f>
        <v>47.591348467897</v>
      </c>
      <c r="H8" s="29" t="n">
        <f aca="false">1+C8*G8</f>
        <v>238.956742339485</v>
      </c>
      <c r="I8" s="30" t="n">
        <f aca="false">INDEX(REB_MULT,MATCH(E8,REB_R,0))</f>
        <v>4</v>
      </c>
      <c r="J8" s="29" t="n">
        <f aca="false">BASE_EPC*H8*I8</f>
        <v>955.826969357939</v>
      </c>
      <c r="K8" s="31" t="n">
        <f aca="false">Enemies!G9</f>
        <v>15625000000</v>
      </c>
      <c r="L8" s="24" t="n">
        <f aca="false">K8/(TTK_BOSS_TARGET*SWING_RATE*DPE*F8*CRIT_AVG)</f>
        <v>29525699.1685563</v>
      </c>
      <c r="M8" s="32" t="n">
        <f aca="false">L8/(J8*CPS*60)</f>
        <v>85.8061486577014</v>
      </c>
      <c r="N8" s="24" t="n">
        <f aca="false">L7</f>
        <v>1907814.40781441</v>
      </c>
      <c r="O8" s="32" t="n">
        <f aca="false">Enemies!B9/(N8*DPE*F8*CRIT_AVG*SWING_RATE)</f>
        <v>2.32142857142857</v>
      </c>
      <c r="P8" s="22" t="str">
        <f aca="false">IF(O8&lt;=ARRIVAL_TTK_MAX,"OK","Too slow")</f>
        <v>OK</v>
      </c>
      <c r="Q8" s="32" t="n">
        <f aca="false">INDEX(Enemies!B9:G9,MATCH(FARM_TIER,TIER_NAMES,0))/(((N8+L8)/2)*DPE*F8*CRIT_AVG*SWING_RATE)</f>
        <v>4.22687861271676</v>
      </c>
      <c r="R8" s="24" t="n">
        <f aca="false">60/(Q8+KILL_OVERHEAD_S)*INDEX(Enemies!B21:G21,MATCH(FARM_TIER,TIER_NAMES,0))</f>
        <v>1637017.41105223</v>
      </c>
      <c r="S8" s="24" t="n">
        <f aca="false">EGG_COST_BASE*EGG_COST_GROWTH^(A8-1)</f>
        <v>390625</v>
      </c>
      <c r="T8" s="32" t="n">
        <f aca="false">R8/S8</f>
        <v>4.19076457229372</v>
      </c>
      <c r="U8" s="24" t="n">
        <f aca="false">UNLOCK_COST_BASE*UNLOCK_COST_GROWTH^(A8-1)</f>
        <v>109350000</v>
      </c>
      <c r="V8" s="32" t="n">
        <f aca="false">U8/R8</f>
        <v>66.7983121387283</v>
      </c>
      <c r="W8" s="33" t="n">
        <f aca="false">SUMPRODUCT((REB_R&gt;=E7)*(REB_R&lt;E8)*REB_COST/REB_MULT)/(BASE_EPC*H7*CPS*60)</f>
        <v>91.7243023213557</v>
      </c>
      <c r="X8" s="32" t="n">
        <f aca="false">(MAX(M8,V8)+W8)/60</f>
        <v>2.95884084965095</v>
      </c>
      <c r="Y8" s="32" t="n">
        <f aca="false">Y7+X8</f>
        <v>7.44944227408919</v>
      </c>
      <c r="Z8" s="32" t="n">
        <f aca="false">Y8/HOURS_PER_DAY</f>
        <v>3.72472113704459</v>
      </c>
      <c r="AA8" s="17" t="n">
        <v>3.5</v>
      </c>
      <c r="AB8" s="22" t="str">
        <f aca="false">IF(ABS(X8-AA8)&lt;=0.3*AA8,"On pace",IF(X8&lt;AA8,"Too fast","Too slow"))</f>
        <v>On pace</v>
      </c>
    </row>
    <row r="9" customFormat="false" ht="15" hidden="false" customHeight="false" outlineLevel="0" collapsed="false">
      <c r="A9" s="9" t="n">
        <v>5</v>
      </c>
      <c r="B9" s="20" t="s">
        <v>156</v>
      </c>
      <c r="C9" s="27" t="n">
        <v>5</v>
      </c>
      <c r="D9" s="20" t="s">
        <v>67</v>
      </c>
      <c r="E9" s="27" t="n">
        <v>9</v>
      </c>
      <c r="F9" s="28" t="n">
        <v>6.7</v>
      </c>
      <c r="G9" s="29" t="n">
        <f aca="false">PET_BASE_BONUS*PET_GROWTH^(A9-1)*INDEX(RARITY_FACTOR,MATCH(D9,RARITY_NAMES,0))</f>
        <v>172.466207682652</v>
      </c>
      <c r="H9" s="29" t="n">
        <f aca="false">1+C9*G9</f>
        <v>863.331038413259</v>
      </c>
      <c r="I9" s="30" t="n">
        <f aca="false">INDEX(REB_MULT,MATCH(E9,REB_R,0))</f>
        <v>5.5</v>
      </c>
      <c r="J9" s="29" t="n">
        <f aca="false">BASE_EPC*H9*I9</f>
        <v>4748.32071127293</v>
      </c>
      <c r="K9" s="31" t="n">
        <f aca="false">Enemies!G10</f>
        <v>390625000000</v>
      </c>
      <c r="L9" s="24" t="n">
        <f aca="false">K9/(TTK_BOSS_TARGET*SWING_RATE*DPE*F9*CRIT_AVG)</f>
        <v>462716180.999763</v>
      </c>
      <c r="M9" s="32" t="n">
        <f aca="false">L9/(J9*CPS*60)</f>
        <v>270.689956124462</v>
      </c>
      <c r="N9" s="24" t="n">
        <f aca="false">L8</f>
        <v>29525699.1685563</v>
      </c>
      <c r="O9" s="32" t="n">
        <f aca="false">Enemies!B10/(N9*DPE*F9*CRIT_AVG*SWING_RATE)</f>
        <v>2.35074626865672</v>
      </c>
      <c r="P9" s="22" t="str">
        <f aca="false">IF(O9&lt;=ARRIVAL_TTK_MAX,"OK","Too slow")</f>
        <v>OK</v>
      </c>
      <c r="Q9" s="32" t="n">
        <f aca="false">INDEX(Enemies!B10:G10,MATCH(FARM_TIER,TIER_NAMES,0))/(((N9+L9)/2)*DPE*F9*CRIT_AVG*SWING_RATE)</f>
        <v>4.2300805729633</v>
      </c>
      <c r="R9" s="24" t="n">
        <f aca="false">60/(Q9+KILL_OVERHEAD_S)*INDEX(Enemies!B22:G22,MATCH(FARM_TIER,TIER_NAMES,0))</f>
        <v>40902566.2057652</v>
      </c>
      <c r="S9" s="24" t="n">
        <f aca="false">EGG_COST_BASE*EGG_COST_GROWTH^(A9-1)</f>
        <v>9765625</v>
      </c>
      <c r="T9" s="32" t="n">
        <f aca="false">R9/S9</f>
        <v>4.18842277947035</v>
      </c>
      <c r="U9" s="24" t="n">
        <f aca="false">UNLOCK_COST_BASE*UNLOCK_COST_GROWTH^(A9-1)</f>
        <v>4920750000</v>
      </c>
      <c r="V9" s="32" t="n">
        <f aca="false">U9/R9</f>
        <v>120.304187645479</v>
      </c>
      <c r="W9" s="33" t="n">
        <f aca="false">SUMPRODUCT((REB_R&gt;=E8)*(REB_R&lt;E9)*REB_COST/REB_MULT)/(BASE_EPC*H8*CPS*60)</f>
        <v>111.182890151821</v>
      </c>
      <c r="X9" s="32" t="n">
        <f aca="false">(MAX(M9,V9)+W9)/60</f>
        <v>6.36454743793804</v>
      </c>
      <c r="Y9" s="32" t="n">
        <f aca="false">Y8+X9</f>
        <v>13.8139897120272</v>
      </c>
      <c r="Z9" s="32" t="n">
        <f aca="false">Y9/HOURS_PER_DAY</f>
        <v>6.90699485601362</v>
      </c>
      <c r="AA9" s="17" t="n">
        <v>6</v>
      </c>
      <c r="AB9" s="22" t="str">
        <f aca="false">IF(ABS(X9-AA9)&lt;=0.3*AA9,"On pace",IF(X9&lt;AA9,"Too fast","Too slow"))</f>
        <v>On pace</v>
      </c>
    </row>
    <row r="10" customFormat="false" ht="15" hidden="false" customHeight="false" outlineLevel="0" collapsed="false">
      <c r="A10" s="9" t="n">
        <v>6</v>
      </c>
      <c r="B10" s="20" t="s">
        <v>156</v>
      </c>
      <c r="C10" s="27" t="n">
        <v>6</v>
      </c>
      <c r="D10" s="20" t="s">
        <v>67</v>
      </c>
      <c r="E10" s="27" t="n">
        <v>12</v>
      </c>
      <c r="F10" s="28" t="n">
        <v>11</v>
      </c>
      <c r="G10" s="29" t="n">
        <f aca="false">PET_BASE_BONUS*PET_GROWTH^(A10-1)*INDEX(RARITY_FACTOR,MATCH(D10,RARITY_NAMES,0))</f>
        <v>625</v>
      </c>
      <c r="H10" s="29" t="n">
        <f aca="false">1+C10*G10</f>
        <v>3751</v>
      </c>
      <c r="I10" s="30" t="n">
        <f aca="false">INDEX(REB_MULT,MATCH(E10,REB_R,0))</f>
        <v>7.7</v>
      </c>
      <c r="J10" s="29" t="n">
        <f aca="false">BASE_EPC*H10*I10</f>
        <v>28882.7</v>
      </c>
      <c r="K10" s="31" t="n">
        <f aca="false">Enemies!G11</f>
        <v>9765625000000</v>
      </c>
      <c r="L10" s="24" t="n">
        <f aca="false">K10/(TTK_BOSS_TARGET*SWING_RATE*DPE*F10*CRIT_AVG)</f>
        <v>7045905483.40548</v>
      </c>
      <c r="M10" s="32" t="n">
        <f aca="false">L10/(J10*CPS*60)</f>
        <v>677.636082365095</v>
      </c>
      <c r="N10" s="24" t="n">
        <f aca="false">L9</f>
        <v>462716180.999763</v>
      </c>
      <c r="O10" s="32" t="n">
        <f aca="false">Enemies!B11/(N10*DPE*F10*CRIT_AVG*SWING_RATE)</f>
        <v>2.28409090909091</v>
      </c>
      <c r="P10" s="22" t="str">
        <f aca="false">IF(O10&lt;=ARRIVAL_TTK_MAX,"OK","Too slow")</f>
        <v>OK</v>
      </c>
      <c r="Q10" s="32" t="n">
        <f aca="false">INDEX(Enemies!B11:G11,MATCH(FARM_TIER,TIER_NAMES,0))/(((N10+L10)/2)*DPE*F10*CRIT_AVG*SWING_RATE)</f>
        <v>4.22268907563025</v>
      </c>
      <c r="R10" s="24" t="n">
        <f aca="false">60/(Q10+KILL_OVERHEAD_S)*INDEX(Enemies!B23:G23,MATCH(FARM_TIER,TIER_NAMES,0))</f>
        <v>1023884911.89427</v>
      </c>
      <c r="S10" s="24" t="n">
        <f aca="false">EGG_COST_BASE*EGG_COST_GROWTH^(A10-1)</f>
        <v>244140625</v>
      </c>
      <c r="T10" s="32" t="n">
        <f aca="false">R10/S10</f>
        <v>4.19383259911894</v>
      </c>
      <c r="U10" s="24" t="n">
        <f aca="false">UNLOCK_COST_BASE*UNLOCK_COST_GROWTH^(A10-1)</f>
        <v>221433750000</v>
      </c>
      <c r="V10" s="32" t="n">
        <f aca="false">U10/R10</f>
        <v>216.26820302521</v>
      </c>
      <c r="W10" s="33" t="n">
        <f aca="false">SUMPRODUCT((REB_R&gt;=E9)*(REB_R&lt;E10)*REB_COST/REB_MULT)/(BASE_EPC*H9*CPS*60)</f>
        <v>172.032629330783</v>
      </c>
      <c r="X10" s="32" t="n">
        <f aca="false">(MAX(M10,V10)+W10)/60</f>
        <v>14.1611451949313</v>
      </c>
      <c r="Y10" s="32" t="n">
        <f aca="false">Y9+X10</f>
        <v>27.9751349069585</v>
      </c>
      <c r="Z10" s="32" t="n">
        <f aca="false">Y10/HOURS_PER_DAY</f>
        <v>13.9875674534793</v>
      </c>
      <c r="AA10" s="17" t="n">
        <v>12</v>
      </c>
      <c r="AB10" s="22" t="str">
        <f aca="false">IF(ABS(X10-AA10)&lt;=0.3*AA10,"On pace",IF(X10&lt;AA10,"Too fast","Too slow"))</f>
        <v>On pace</v>
      </c>
    </row>
    <row r="11" customFormat="false" ht="15" hidden="false" customHeight="false" outlineLevel="0" collapsed="false">
      <c r="A11" s="9" t="n">
        <v>7</v>
      </c>
      <c r="B11" s="20" t="s">
        <v>156</v>
      </c>
      <c r="C11" s="27" t="n">
        <v>6</v>
      </c>
      <c r="D11" s="20" t="s">
        <v>69</v>
      </c>
      <c r="E11" s="27" t="n">
        <v>15</v>
      </c>
      <c r="F11" s="28" t="n">
        <v>17</v>
      </c>
      <c r="G11" s="29" t="n">
        <f aca="false">PET_BASE_BONUS*PET_GROWTH^(A11-1)*INDEX(RARITY_FACTOR,MATCH(D11,RARITY_NAMES,0))</f>
        <v>4529.8728979856</v>
      </c>
      <c r="H11" s="29" t="n">
        <f aca="false">1+C11*G11</f>
        <v>27180.2373879136</v>
      </c>
      <c r="I11" s="30" t="n">
        <f aca="false">INDEX(REB_MULT,MATCH(E11,REB_R,0))</f>
        <v>9.35</v>
      </c>
      <c r="J11" s="29" t="n">
        <f aca="false">BASE_EPC*H11*I11</f>
        <v>254135.219576992</v>
      </c>
      <c r="K11" s="31" t="n">
        <f aca="false">Enemies!G12</f>
        <v>244140625000000</v>
      </c>
      <c r="L11" s="24" t="n">
        <f aca="false">K11/(TTK_BOSS_TARGET*SWING_RATE*DPE*F11*CRIT_AVG)</f>
        <v>113977882819.795</v>
      </c>
      <c r="M11" s="32" t="n">
        <f aca="false">L11/(J11*CPS*60)</f>
        <v>1245.81406143538</v>
      </c>
      <c r="N11" s="24" t="n">
        <f aca="false">L10</f>
        <v>7045905483.40548</v>
      </c>
      <c r="O11" s="32" t="n">
        <f aca="false">Enemies!B12/(N11*DPE*F11*CRIT_AVG*SWING_RATE)</f>
        <v>2.42647058823529</v>
      </c>
      <c r="P11" s="22" t="str">
        <f aca="false">IF(O11&lt;=ARRIVAL_TTK_MAX,"OK","Too slow")</f>
        <v>OK</v>
      </c>
      <c r="Q11" s="32" t="n">
        <f aca="false">INDEX(Enemies!B12:G12,MATCH(FARM_TIER,TIER_NAMES,0))/(((N11+L11)/2)*DPE*F11*CRIT_AVG*SWING_RATE)</f>
        <v>4.23801369863014</v>
      </c>
      <c r="R11" s="24" t="n">
        <f aca="false">60/(Q11+KILL_OVERHEAD_S)*INDEX(Enemies!B24:G24,MATCH(FARM_TIER,TIER_NAMES,0))</f>
        <v>25528760071.6204</v>
      </c>
      <c r="S11" s="24" t="n">
        <f aca="false">EGG_COST_BASE*EGG_COST_GROWTH^(A11-1)</f>
        <v>6103515625</v>
      </c>
      <c r="T11" s="32" t="n">
        <f aca="false">R11/S11</f>
        <v>4.18263205013429</v>
      </c>
      <c r="U11" s="24" t="n">
        <f aca="false">UNLOCK_COST_BASE*UNLOCK_COST_GROWTH^(A11-1)</f>
        <v>9964518750000</v>
      </c>
      <c r="V11" s="32" t="n">
        <f aca="false">U11/R11</f>
        <v>390.325214465753</v>
      </c>
      <c r="W11" s="33" t="n">
        <f aca="false">SUMPRODUCT((REB_R&gt;=E10)*(REB_R&lt;E11)*REB_COST/REB_MULT)/(BASE_EPC*H10*CPS*60)</f>
        <v>250.802447549981</v>
      </c>
      <c r="X11" s="32" t="n">
        <f aca="false">(MAX(M11,V11)+W11)/60</f>
        <v>24.9436084830894</v>
      </c>
      <c r="Y11" s="32" t="n">
        <f aca="false">Y10+X11</f>
        <v>52.9187433900479</v>
      </c>
      <c r="Z11" s="32" t="n">
        <f aca="false">Y11/HOURS_PER_DAY</f>
        <v>26.459371695024</v>
      </c>
      <c r="AA11" s="17" t="n">
        <v>24</v>
      </c>
      <c r="AB11" s="22" t="str">
        <f aca="false">IF(ABS(X11-AA11)&lt;=0.3*AA11,"On pace",IF(X11&lt;AA11,"Too fast","Too slow"))</f>
        <v>On pace</v>
      </c>
    </row>
    <row r="12" customFormat="false" ht="15" hidden="false" customHeight="false" outlineLevel="0" collapsed="false">
      <c r="A12" s="9" t="n">
        <v>8</v>
      </c>
      <c r="B12" s="20" t="s">
        <v>156</v>
      </c>
      <c r="C12" s="27" t="n">
        <v>7</v>
      </c>
      <c r="D12" s="20" t="s">
        <v>69</v>
      </c>
      <c r="E12" s="27" t="n">
        <v>18</v>
      </c>
      <c r="F12" s="28" t="n">
        <v>27</v>
      </c>
      <c r="G12" s="29" t="n">
        <f aca="false">PET_BASE_BONUS*PET_GROWTH^(A12-1)*INDEX(RARITY_FACTOR,MATCH(D12,RARITY_NAMES,0))</f>
        <v>16415.7987775236</v>
      </c>
      <c r="H12" s="29" t="n">
        <f aca="false">1+C12*G12</f>
        <v>114911.591442665</v>
      </c>
      <c r="I12" s="30" t="n">
        <f aca="false">INDEX(REB_MULT,MATCH(E12,REB_R,0))</f>
        <v>11</v>
      </c>
      <c r="J12" s="29" t="n">
        <f aca="false">BASE_EPC*H12*I12</f>
        <v>1264027.50586931</v>
      </c>
      <c r="K12" s="31" t="n">
        <f aca="false">Enemies!G13</f>
        <v>6103515625000000</v>
      </c>
      <c r="L12" s="24" t="n">
        <f aca="false">K12/(TTK_BOSS_TARGET*SWING_RATE*DPE*F12*CRIT_AVG)</f>
        <v>1794096303644.91</v>
      </c>
      <c r="M12" s="32" t="n">
        <f aca="false">L12/(J12*CPS*60)</f>
        <v>3942.63639067784</v>
      </c>
      <c r="N12" s="24" t="n">
        <f aca="false">L11</f>
        <v>113977882819.795</v>
      </c>
      <c r="O12" s="32" t="n">
        <f aca="false">Enemies!B13/(N12*DPE*F12*CRIT_AVG*SWING_RATE)</f>
        <v>2.36111111111111</v>
      </c>
      <c r="P12" s="22" t="str">
        <f aca="false">IF(O12&lt;=ARRIVAL_TTK_MAX,"OK","Too slow")</f>
        <v>OK</v>
      </c>
      <c r="Q12" s="32" t="n">
        <f aca="false">INDEX(Enemies!B13:G13,MATCH(FARM_TIER,TIER_NAMES,0))/(((N12+L12)/2)*DPE*F12*CRIT_AVG*SWING_RATE)</f>
        <v>4.23119469026549</v>
      </c>
      <c r="R12" s="24" t="n">
        <f aca="false">60/(Q12+KILL_OVERHEAD_S)*INDEX(Enemies!B25:G25,MATCH(FARM_TIER,TIER_NAMES,0))</f>
        <v>638978358425.015</v>
      </c>
      <c r="S12" s="24" t="n">
        <f aca="false">EGG_COST_BASE*EGG_COST_GROWTH^(A12-1)</f>
        <v>152587890625</v>
      </c>
      <c r="T12" s="32" t="n">
        <f aca="false">R12/S12</f>
        <v>4.18760856977418</v>
      </c>
      <c r="U12" s="24" t="n">
        <f aca="false">UNLOCK_COST_BASE*UNLOCK_COST_GROWTH^(A12-1)</f>
        <v>448403343750000</v>
      </c>
      <c r="V12" s="32" t="n">
        <f aca="false">U12/R12</f>
        <v>701.750439334513</v>
      </c>
      <c r="W12" s="33" t="n">
        <f aca="false">SUMPRODUCT((REB_R&gt;=E11)*(REB_R&lt;E12)*REB_COST/REB_MULT)/(BASE_EPC*H11*CPS*60)</f>
        <v>231.65495522019</v>
      </c>
      <c r="X12" s="32" t="n">
        <f aca="false">(MAX(M12,V12)+W12)/60</f>
        <v>69.5715224316337</v>
      </c>
      <c r="Y12" s="32" t="n">
        <f aca="false">Y11+X12</f>
        <v>122.490265821682</v>
      </c>
      <c r="Z12" s="32" t="n">
        <f aca="false">Y12/HOURS_PER_DAY</f>
        <v>61.2451329108408</v>
      </c>
      <c r="AA12" s="17" t="n">
        <v>60</v>
      </c>
      <c r="AB12" s="22" t="str">
        <f aca="false">IF(ABS(X12-AA12)&lt;=0.3*AA12,"On pace",IF(X12&lt;AA12,"Too fast","Too slow"))</f>
        <v>On pace</v>
      </c>
    </row>
    <row r="14" customFormat="false" ht="15" hidden="false" customHeight="false" outlineLevel="0" collapsed="false">
      <c r="A14" s="16" t="s">
        <v>157</v>
      </c>
    </row>
    <row r="15" customFormat="false" ht="15" hidden="false" customHeight="false" outlineLevel="0" collapsed="false">
      <c r="A15" s="16" t="s">
        <v>158</v>
      </c>
    </row>
  </sheetData>
  <conditionalFormatting sqref="P5:P12">
    <cfRule type="expression" priority="2" aboveAverage="0" equalAverage="0" bottom="0" percent="0" rank="0" text="" dxfId="0">
      <formula>OR(P5="Too slow",P5="Too fast")</formula>
    </cfRule>
    <cfRule type="expression" priority="3" aboveAverage="0" equalAverage="0" bottom="0" percent="0" rank="0" text="" dxfId="1">
      <formula>OR(P5="OK",P5="On pace")</formula>
    </cfRule>
  </conditionalFormatting>
  <conditionalFormatting sqref="AB5:AB12">
    <cfRule type="expression" priority="4" aboveAverage="0" equalAverage="0" bottom="0" percent="0" rank="0" text="" dxfId="0">
      <formula>OR(AB5="Too slow",AB5="Too fast")</formula>
    </cfRule>
    <cfRule type="expression" priority="5" aboveAverage="0" equalAverage="0" bottom="0" percent="0" rank="0" text="" dxfId="1">
      <formula>OR(AB5="OK",AB5="On pace")</formula>
    </cfRule>
  </conditionalFormatting>
  <dataValidations count="1">
    <dataValidation allowBlank="false" errorStyle="stop" operator="between" showDropDown="false" showErrorMessage="false" showInputMessage="false" sqref="D5:D12" type="list">
      <formula1>"Common,Uncommon,Rare,Epic,Legendary,Mythical,Secret"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17.35" hidden="false" customHeight="false" outlineLevel="0" collapsed="false">
      <c r="A1" s="4" t="s">
        <v>159</v>
      </c>
    </row>
    <row r="2" customFormat="false" ht="15" hidden="false" customHeight="false" outlineLevel="0" collapsed="false">
      <c r="A2" s="23" t="s">
        <v>160</v>
      </c>
    </row>
    <row r="4" customFormat="false" ht="15" hidden="false" customHeight="false" outlineLevel="0" collapsed="false">
      <c r="A4" s="9" t="s">
        <v>161</v>
      </c>
      <c r="B4" s="34" t="n">
        <v>0</v>
      </c>
      <c r="C4" s="35" t="s">
        <v>162</v>
      </c>
    </row>
    <row r="5" customFormat="false" ht="15" hidden="false" customHeight="false" outlineLevel="0" collapsed="false">
      <c r="A5" s="9" t="s">
        <v>163</v>
      </c>
      <c r="B5" s="12" t="n">
        <v>100</v>
      </c>
    </row>
    <row r="6" customFormat="false" ht="15" hidden="false" customHeight="false" outlineLevel="0" collapsed="false">
      <c r="A6" s="9" t="s">
        <v>164</v>
      </c>
      <c r="B6" s="12" t="n">
        <v>100</v>
      </c>
      <c r="C6" s="35" t="s">
        <v>165</v>
      </c>
    </row>
    <row r="8" customFormat="false" ht="31.5" hidden="false" customHeight="true" outlineLevel="0" collapsed="false">
      <c r="A8" s="5" t="s">
        <v>55</v>
      </c>
      <c r="B8" s="5" t="s">
        <v>166</v>
      </c>
      <c r="C8" s="5" t="s">
        <v>167</v>
      </c>
      <c r="D8" s="5" t="s">
        <v>168</v>
      </c>
      <c r="E8" s="5" t="s">
        <v>169</v>
      </c>
      <c r="F8" s="5" t="s">
        <v>170</v>
      </c>
      <c r="G8" s="5" t="s">
        <v>171</v>
      </c>
      <c r="H8" s="5" t="s">
        <v>172</v>
      </c>
    </row>
    <row r="9" customFormat="false" ht="15" hidden="false" customHeight="false" outlineLevel="0" collapsed="false">
      <c r="A9" s="9" t="s">
        <v>58</v>
      </c>
      <c r="B9" s="36" t="n">
        <v>35.12</v>
      </c>
      <c r="C9" s="36" t="n">
        <v>0</v>
      </c>
      <c r="D9" s="37" t="n">
        <f aca="false">B9*(1+$B$4*C9)</f>
        <v>35.12</v>
      </c>
      <c r="E9" s="38" t="n">
        <f aca="false">B9/SUM($B$9:$B$14)</f>
        <v>0.3512</v>
      </c>
      <c r="F9" s="38" t="n">
        <f aca="false">D9/SUM($D$9:$D$14)</f>
        <v>0.3512</v>
      </c>
      <c r="G9" s="33" t="n">
        <f aca="false">1/F9</f>
        <v>2.84738041002278</v>
      </c>
      <c r="H9" s="39" t="n">
        <f aca="false">1-(1-F9)^$B$5</f>
        <v>1</v>
      </c>
    </row>
    <row r="10" customFormat="false" ht="15" hidden="false" customHeight="false" outlineLevel="0" collapsed="false">
      <c r="A10" s="9" t="s">
        <v>61</v>
      </c>
      <c r="B10" s="36" t="n">
        <v>30.99</v>
      </c>
      <c r="C10" s="36" t="n">
        <v>0</v>
      </c>
      <c r="D10" s="37" t="n">
        <f aca="false">B10*(1+$B$4*C10)</f>
        <v>30.99</v>
      </c>
      <c r="E10" s="38" t="n">
        <f aca="false">B10/SUM($B$9:$B$14)</f>
        <v>0.3099</v>
      </c>
      <c r="F10" s="38" t="n">
        <f aca="false">D10/SUM($D$9:$D$14)</f>
        <v>0.3099</v>
      </c>
      <c r="G10" s="33" t="n">
        <f aca="false">1/F10</f>
        <v>3.22684737011939</v>
      </c>
      <c r="H10" s="39" t="n">
        <f aca="false">1-(1-F10)^$B$5</f>
        <v>1</v>
      </c>
    </row>
    <row r="11" customFormat="false" ht="15" hidden="false" customHeight="false" outlineLevel="0" collapsed="false">
      <c r="A11" s="9" t="s">
        <v>64</v>
      </c>
      <c r="B11" s="36" t="n">
        <v>24.1</v>
      </c>
      <c r="C11" s="36" t="n">
        <v>0.25</v>
      </c>
      <c r="D11" s="37" t="n">
        <f aca="false">B11*(1+$B$4*C11)</f>
        <v>24.1</v>
      </c>
      <c r="E11" s="38" t="n">
        <f aca="false">B11/SUM($B$9:$B$14)</f>
        <v>0.241</v>
      </c>
      <c r="F11" s="38" t="n">
        <f aca="false">D11/SUM($D$9:$D$14)</f>
        <v>0.241</v>
      </c>
      <c r="G11" s="33" t="n">
        <f aca="false">1/F11</f>
        <v>4.149377593361</v>
      </c>
      <c r="H11" s="39" t="n">
        <f aca="false">1-(1-F11)^$B$5</f>
        <v>0.999999999998943</v>
      </c>
    </row>
    <row r="12" customFormat="false" ht="15" hidden="false" customHeight="false" outlineLevel="0" collapsed="false">
      <c r="A12" s="9" t="s">
        <v>67</v>
      </c>
      <c r="B12" s="36" t="n">
        <v>8.37</v>
      </c>
      <c r="C12" s="36" t="n">
        <v>0.5</v>
      </c>
      <c r="D12" s="37" t="n">
        <f aca="false">B12*(1+$B$4*C12)</f>
        <v>8.37</v>
      </c>
      <c r="E12" s="38" t="n">
        <f aca="false">B12/SUM($B$9:$B$14)</f>
        <v>0.0837</v>
      </c>
      <c r="F12" s="38" t="n">
        <f aca="false">D12/SUM($D$9:$D$14)</f>
        <v>0.0837</v>
      </c>
      <c r="G12" s="33" t="n">
        <f aca="false">1/F12</f>
        <v>11.94743130227</v>
      </c>
      <c r="H12" s="39" t="n">
        <f aca="false">1-(1-F12)^$B$5</f>
        <v>0.999840129381</v>
      </c>
    </row>
    <row r="13" customFormat="false" ht="15" hidden="false" customHeight="false" outlineLevel="0" collapsed="false">
      <c r="A13" s="9" t="s">
        <v>69</v>
      </c>
      <c r="B13" s="36" t="n">
        <v>1.32</v>
      </c>
      <c r="C13" s="36" t="n">
        <v>1</v>
      </c>
      <c r="D13" s="37" t="n">
        <f aca="false">B13*(1+$B$4*C13)</f>
        <v>1.32</v>
      </c>
      <c r="E13" s="38" t="n">
        <f aca="false">B13/SUM($B$9:$B$14)</f>
        <v>0.0132</v>
      </c>
      <c r="F13" s="38" t="n">
        <f aca="false">D13/SUM($D$9:$D$14)</f>
        <v>0.0132</v>
      </c>
      <c r="G13" s="33" t="n">
        <f aca="false">1/F13</f>
        <v>75.7575757575758</v>
      </c>
      <c r="H13" s="39" t="n">
        <f aca="false">1-(1-F13)^$B$5</f>
        <v>0.735202377303952</v>
      </c>
    </row>
    <row r="14" customFormat="false" ht="15" hidden="false" customHeight="false" outlineLevel="0" collapsed="false">
      <c r="A14" s="9" t="s">
        <v>72</v>
      </c>
      <c r="B14" s="36" t="n">
        <v>0.1</v>
      </c>
      <c r="C14" s="36" t="n">
        <v>1.5</v>
      </c>
      <c r="D14" s="37" t="n">
        <f aca="false">B14*(1+$B$4*C14)</f>
        <v>0.1</v>
      </c>
      <c r="E14" s="38" t="n">
        <f aca="false">B14/SUM($B$9:$B$14)</f>
        <v>0.001</v>
      </c>
      <c r="F14" s="38" t="n">
        <f aca="false">D14/SUM($D$9:$D$14)</f>
        <v>0.001</v>
      </c>
      <c r="G14" s="33" t="n">
        <f aca="false">1/F14</f>
        <v>1000</v>
      </c>
      <c r="H14" s="39" t="n">
        <f aca="false">1-(1-F14)^$B$5</f>
        <v>0.0952078528862911</v>
      </c>
    </row>
    <row r="15" customFormat="false" ht="15" hidden="false" customHeight="false" outlineLevel="0" collapsed="false">
      <c r="A15" s="9" t="s">
        <v>173</v>
      </c>
      <c r="B15" s="19" t="n">
        <f aca="false">SUM(B9:B14)</f>
        <v>100</v>
      </c>
      <c r="E15" s="38" t="n">
        <f aca="false">SUM(E9:E14)</f>
        <v>1</v>
      </c>
      <c r="F15" s="38" t="n">
        <f aca="false">SUM(F9:F14)</f>
        <v>1</v>
      </c>
    </row>
    <row r="16" customFormat="false" ht="15" hidden="false" customHeight="false" outlineLevel="0" collapsed="false">
      <c r="A16" s="9" t="s">
        <v>174</v>
      </c>
      <c r="F16" s="22" t="str">
        <f aca="false">IF(ABS(F15-1)&lt;0.0000001,"Sums to 100%","CHECK")</f>
        <v>Sums to 100%</v>
      </c>
    </row>
    <row r="17" customFormat="false" ht="15" hidden="false" customHeight="false" outlineLevel="0" collapsed="false">
      <c r="A17" s="16" t="s">
        <v>175</v>
      </c>
    </row>
    <row r="19" customFormat="false" ht="15" hidden="false" customHeight="false" outlineLevel="0" collapsed="false">
      <c r="A19" s="9" t="s">
        <v>176</v>
      </c>
      <c r="B19" s="38" t="n">
        <f aca="false">F13+F14</f>
        <v>0.0142</v>
      </c>
    </row>
    <row r="20" customFormat="false" ht="15" hidden="false" customHeight="false" outlineLevel="0" collapsed="false">
      <c r="A20" s="9" t="s">
        <v>177</v>
      </c>
      <c r="B20" s="39" t="n">
        <f aca="false">(1-B19)^(B6-1)</f>
        <v>0.242712737199756</v>
      </c>
      <c r="C20" s="35" t="s">
        <v>178</v>
      </c>
    </row>
    <row r="21" customFormat="false" ht="15" hidden="false" customHeight="false" outlineLevel="0" collapsed="false">
      <c r="A21" s="9" t="s">
        <v>179</v>
      </c>
      <c r="B21" s="32" t="n">
        <f aca="false">(1-(1-B19)^B6)/B19</f>
        <v>53.5728016667944</v>
      </c>
      <c r="C21" s="35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4" t="s">
        <v>181</v>
      </c>
    </row>
    <row r="2" customFormat="false" ht="15" hidden="false" customHeight="false" outlineLevel="0" collapsed="false">
      <c r="A2" s="23" t="s">
        <v>182</v>
      </c>
    </row>
    <row r="4" customFormat="false" ht="15" hidden="false" customHeight="false" outlineLevel="0" collapsed="false">
      <c r="A4" s="9" t="s">
        <v>183</v>
      </c>
      <c r="B4" s="12" t="n">
        <v>50</v>
      </c>
    </row>
    <row r="5" customFormat="false" ht="15" hidden="false" customHeight="false" outlineLevel="0" collapsed="false">
      <c r="A5" s="9" t="s">
        <v>184</v>
      </c>
      <c r="B5" s="14" t="n">
        <v>1500</v>
      </c>
      <c r="C5" s="35" t="s">
        <v>185</v>
      </c>
    </row>
    <row r="7" customFormat="false" ht="31.5" hidden="false" customHeight="true" outlineLevel="0" collapsed="false">
      <c r="A7" s="5" t="s">
        <v>24</v>
      </c>
      <c r="B7" s="5" t="s">
        <v>186</v>
      </c>
      <c r="C7" s="5" t="s">
        <v>187</v>
      </c>
      <c r="D7" s="5" t="s">
        <v>188</v>
      </c>
      <c r="E7" s="5" t="s">
        <v>189</v>
      </c>
      <c r="F7" s="5" t="s">
        <v>190</v>
      </c>
    </row>
    <row r="8" customFormat="false" ht="15" hidden="false" customHeight="false" outlineLevel="0" collapsed="false">
      <c r="A8" s="9" t="s">
        <v>58</v>
      </c>
      <c r="B8" s="36" t="n">
        <v>50</v>
      </c>
      <c r="C8" s="38" t="n">
        <f aca="false">B8/SUM($B$8:$B$14)</f>
        <v>0.5</v>
      </c>
      <c r="D8" s="33" t="n">
        <f aca="false">1/C8</f>
        <v>2</v>
      </c>
      <c r="E8" s="39" t="n">
        <f aca="false">1-(1-C8)^$B$4</f>
        <v>0.999999999999999</v>
      </c>
      <c r="F8" s="38" t="n">
        <f aca="false">SUM(C8:$C$14)</f>
        <v>1</v>
      </c>
    </row>
    <row r="9" customFormat="false" ht="15" hidden="false" customHeight="false" outlineLevel="0" collapsed="false">
      <c r="A9" s="9" t="s">
        <v>61</v>
      </c>
      <c r="B9" s="36" t="n">
        <v>28</v>
      </c>
      <c r="C9" s="38" t="n">
        <f aca="false">B9/SUM($B$8:$B$14)</f>
        <v>0.28</v>
      </c>
      <c r="D9" s="33" t="n">
        <f aca="false">1/C9</f>
        <v>3.57142857142857</v>
      </c>
      <c r="E9" s="39" t="n">
        <f aca="false">1-(1-C9)^$B$4</f>
        <v>0.999999926442862</v>
      </c>
      <c r="F9" s="38" t="n">
        <f aca="false">SUM(C9:$C$14)</f>
        <v>0.5</v>
      </c>
    </row>
    <row r="10" customFormat="false" ht="15" hidden="false" customHeight="false" outlineLevel="0" collapsed="false">
      <c r="A10" s="9" t="s">
        <v>64</v>
      </c>
      <c r="B10" s="36" t="n">
        <v>14</v>
      </c>
      <c r="C10" s="38" t="n">
        <f aca="false">B10/SUM($B$8:$B$14)</f>
        <v>0.14</v>
      </c>
      <c r="D10" s="33" t="n">
        <f aca="false">1/C10</f>
        <v>7.14285714285714</v>
      </c>
      <c r="E10" s="39" t="n">
        <f aca="false">1-(1-C10)^$B$4</f>
        <v>0.999469210207835</v>
      </c>
      <c r="F10" s="38" t="n">
        <f aca="false">SUM(C10:$C$14)</f>
        <v>0.22</v>
      </c>
    </row>
    <row r="11" customFormat="false" ht="15" hidden="false" customHeight="false" outlineLevel="0" collapsed="false">
      <c r="A11" s="9" t="s">
        <v>67</v>
      </c>
      <c r="B11" s="36" t="n">
        <v>6</v>
      </c>
      <c r="C11" s="38" t="n">
        <f aca="false">B11/SUM($B$8:$B$14)</f>
        <v>0.06</v>
      </c>
      <c r="D11" s="33" t="n">
        <f aca="false">1/C11</f>
        <v>16.6666666666667</v>
      </c>
      <c r="E11" s="39" t="n">
        <f aca="false">1-(1-C11)^$B$4</f>
        <v>0.954669273439271</v>
      </c>
      <c r="F11" s="38" t="n">
        <f aca="false">SUM(C11:$C$14)</f>
        <v>0.08</v>
      </c>
    </row>
    <row r="12" customFormat="false" ht="15" hidden="false" customHeight="false" outlineLevel="0" collapsed="false">
      <c r="A12" s="9" t="s">
        <v>69</v>
      </c>
      <c r="B12" s="36" t="n">
        <v>1.8</v>
      </c>
      <c r="C12" s="38" t="n">
        <f aca="false">B12/SUM($B$8:$B$14)</f>
        <v>0.018</v>
      </c>
      <c r="D12" s="33" t="n">
        <f aca="false">1/C12</f>
        <v>55.5555555555556</v>
      </c>
      <c r="E12" s="39" t="n">
        <f aca="false">1-(1-C12)^$B$4</f>
        <v>0.596749987663268</v>
      </c>
      <c r="F12" s="38" t="n">
        <f aca="false">SUM(C12:$C$14)</f>
        <v>0.02</v>
      </c>
    </row>
    <row r="13" customFormat="false" ht="15" hidden="false" customHeight="false" outlineLevel="0" collapsed="false">
      <c r="A13" s="9" t="s">
        <v>72</v>
      </c>
      <c r="B13" s="36" t="n">
        <v>0.19</v>
      </c>
      <c r="C13" s="38" t="n">
        <f aca="false">B13/SUM($B$8:$B$14)</f>
        <v>0.0019</v>
      </c>
      <c r="D13" s="33" t="n">
        <f aca="false">1/C13</f>
        <v>526.315789473684</v>
      </c>
      <c r="E13" s="39" t="n">
        <f aca="false">1-(1-C13)^$B$4</f>
        <v>0.0907092368312118</v>
      </c>
      <c r="F13" s="38" t="n">
        <f aca="false">SUM(C13:$C$14)</f>
        <v>0.002</v>
      </c>
    </row>
    <row r="14" customFormat="false" ht="15" hidden="false" customHeight="false" outlineLevel="0" collapsed="false">
      <c r="A14" s="9" t="s">
        <v>75</v>
      </c>
      <c r="B14" s="36" t="n">
        <v>0.01</v>
      </c>
      <c r="C14" s="38" t="n">
        <f aca="false">B14/SUM($B$8:$B$14)</f>
        <v>0.0001</v>
      </c>
      <c r="D14" s="33" t="n">
        <f aca="false">1/C14</f>
        <v>10000</v>
      </c>
      <c r="E14" s="39" t="n">
        <f aca="false">1-(1-C14)^$B$4</f>
        <v>0.00498776957699065</v>
      </c>
      <c r="F14" s="38" t="n">
        <f aca="false">SUM(C14:$C$14)</f>
        <v>0.0001</v>
      </c>
    </row>
    <row r="15" customFormat="false" ht="15" hidden="false" customHeight="false" outlineLevel="0" collapsed="false">
      <c r="A15" s="9" t="s">
        <v>173</v>
      </c>
      <c r="C15" s="38" t="n">
        <f aca="false">SUM(C8:C14)</f>
        <v>1</v>
      </c>
    </row>
    <row r="17" customFormat="false" ht="15" hidden="false" customHeight="false" outlineLevel="0" collapsed="false">
      <c r="A17" s="9" t="s">
        <v>191</v>
      </c>
      <c r="B17" s="39" t="n">
        <f aca="false">1-(1-C14)^(B5-1)</f>
        <v>0.13921240053098</v>
      </c>
      <c r="C17" s="35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4" t="s">
        <v>193</v>
      </c>
    </row>
    <row r="2" customFormat="false" ht="15" hidden="false" customHeight="false" outlineLevel="0" collapsed="false">
      <c r="A2" s="23" t="s">
        <v>194</v>
      </c>
    </row>
    <row r="4" customFormat="false" ht="31.5" hidden="false" customHeight="true" outlineLevel="0" collapsed="false">
      <c r="A4" s="5" t="s">
        <v>195</v>
      </c>
      <c r="B4" s="5" t="s">
        <v>196</v>
      </c>
      <c r="C4" s="5" t="s">
        <v>197</v>
      </c>
    </row>
    <row r="5" customFormat="false" ht="15" hidden="false" customHeight="false" outlineLevel="0" collapsed="false">
      <c r="A5" s="9" t="n">
        <v>1</v>
      </c>
      <c r="B5" s="24" t="n">
        <f aca="false">INT(LEVEL_EXP_BASE*A5^LEVEL_EXP_EXP)</f>
        <v>100</v>
      </c>
      <c r="C5" s="24" t="n">
        <f aca="false">B5</f>
        <v>100</v>
      </c>
    </row>
    <row r="6" customFormat="false" ht="15" hidden="false" customHeight="false" outlineLevel="0" collapsed="false">
      <c r="A6" s="9" t="n">
        <v>2</v>
      </c>
      <c r="B6" s="24" t="n">
        <f aca="false">INT(LEVEL_EXP_BASE*A6^LEVEL_EXP_EXP)</f>
        <v>303</v>
      </c>
      <c r="C6" s="24" t="n">
        <f aca="false">C5+B6</f>
        <v>403</v>
      </c>
    </row>
    <row r="7" customFormat="false" ht="15" hidden="false" customHeight="false" outlineLevel="0" collapsed="false">
      <c r="A7" s="9" t="n">
        <v>3</v>
      </c>
      <c r="B7" s="24" t="n">
        <f aca="false">INT(LEVEL_EXP_BASE*A7^LEVEL_EXP_EXP)</f>
        <v>579</v>
      </c>
      <c r="C7" s="24" t="n">
        <f aca="false">C6+B7</f>
        <v>982</v>
      </c>
    </row>
    <row r="8" customFormat="false" ht="15" hidden="false" customHeight="false" outlineLevel="0" collapsed="false">
      <c r="A8" s="9" t="n">
        <v>4</v>
      </c>
      <c r="B8" s="24" t="n">
        <f aca="false">INT(LEVEL_EXP_BASE*A8^LEVEL_EXP_EXP)</f>
        <v>918</v>
      </c>
      <c r="C8" s="24" t="n">
        <f aca="false">C7+B8</f>
        <v>1900</v>
      </c>
    </row>
    <row r="9" customFormat="false" ht="15" hidden="false" customHeight="false" outlineLevel="0" collapsed="false">
      <c r="A9" s="9" t="n">
        <v>5</v>
      </c>
      <c r="B9" s="24" t="n">
        <f aca="false">INT(LEVEL_EXP_BASE*A9^LEVEL_EXP_EXP)</f>
        <v>1313</v>
      </c>
      <c r="C9" s="24" t="n">
        <f aca="false">C8+B9</f>
        <v>3213</v>
      </c>
    </row>
    <row r="10" customFormat="false" ht="15" hidden="false" customHeight="false" outlineLevel="0" collapsed="false">
      <c r="A10" s="9" t="n">
        <v>6</v>
      </c>
      <c r="B10" s="24" t="n">
        <f aca="false">INT(LEVEL_EXP_BASE*A10^LEVEL_EXP_EXP)</f>
        <v>1758</v>
      </c>
      <c r="C10" s="24" t="n">
        <f aca="false">C9+B10</f>
        <v>4971</v>
      </c>
    </row>
    <row r="11" customFormat="false" ht="15" hidden="false" customHeight="false" outlineLevel="0" collapsed="false">
      <c r="A11" s="9" t="n">
        <v>7</v>
      </c>
      <c r="B11" s="24" t="n">
        <f aca="false">INT(LEVEL_EXP_BASE*A11^LEVEL_EXP_EXP)</f>
        <v>2249</v>
      </c>
      <c r="C11" s="24" t="n">
        <f aca="false">C10+B11</f>
        <v>7220</v>
      </c>
    </row>
    <row r="12" customFormat="false" ht="15" hidden="false" customHeight="false" outlineLevel="0" collapsed="false">
      <c r="A12" s="9" t="n">
        <v>8</v>
      </c>
      <c r="B12" s="24" t="n">
        <f aca="false">INT(LEVEL_EXP_BASE*A12^LEVEL_EXP_EXP)</f>
        <v>2785</v>
      </c>
      <c r="C12" s="24" t="n">
        <f aca="false">C11+B12</f>
        <v>10005</v>
      </c>
    </row>
    <row r="13" customFormat="false" ht="15" hidden="false" customHeight="false" outlineLevel="0" collapsed="false">
      <c r="A13" s="9" t="n">
        <v>9</v>
      </c>
      <c r="B13" s="24" t="n">
        <f aca="false">INT(LEVEL_EXP_BASE*A13^LEVEL_EXP_EXP)</f>
        <v>3363</v>
      </c>
      <c r="C13" s="24" t="n">
        <f aca="false">C12+B13</f>
        <v>13368</v>
      </c>
    </row>
    <row r="14" customFormat="false" ht="15" hidden="false" customHeight="false" outlineLevel="0" collapsed="false">
      <c r="A14" s="9" t="n">
        <v>10</v>
      </c>
      <c r="B14" s="24" t="n">
        <f aca="false">INT(LEVEL_EXP_BASE*A14^LEVEL_EXP_EXP)</f>
        <v>3981</v>
      </c>
      <c r="C14" s="24" t="n">
        <f aca="false">C13+B14</f>
        <v>17349</v>
      </c>
    </row>
    <row r="15" customFormat="false" ht="15" hidden="false" customHeight="false" outlineLevel="0" collapsed="false">
      <c r="A15" s="9" t="n">
        <v>11</v>
      </c>
      <c r="B15" s="24" t="n">
        <f aca="false">INT(LEVEL_EXP_BASE*A15^LEVEL_EXP_EXP)</f>
        <v>4636</v>
      </c>
      <c r="C15" s="24" t="n">
        <f aca="false">C14+B15</f>
        <v>21985</v>
      </c>
    </row>
    <row r="16" customFormat="false" ht="15" hidden="false" customHeight="false" outlineLevel="0" collapsed="false">
      <c r="A16" s="9" t="n">
        <v>12</v>
      </c>
      <c r="B16" s="24" t="n">
        <f aca="false">INT(LEVEL_EXP_BASE*A16^LEVEL_EXP_EXP)</f>
        <v>5329</v>
      </c>
      <c r="C16" s="24" t="n">
        <f aca="false">C15+B16</f>
        <v>27314</v>
      </c>
    </row>
    <row r="17" customFormat="false" ht="15" hidden="false" customHeight="false" outlineLevel="0" collapsed="false">
      <c r="A17" s="9" t="n">
        <v>13</v>
      </c>
      <c r="B17" s="24" t="n">
        <f aca="false">INT(LEVEL_EXP_BASE*A17^LEVEL_EXP_EXP)</f>
        <v>6057</v>
      </c>
      <c r="C17" s="24" t="n">
        <f aca="false">C16+B17</f>
        <v>33371</v>
      </c>
    </row>
    <row r="18" customFormat="false" ht="15" hidden="false" customHeight="false" outlineLevel="0" collapsed="false">
      <c r="A18" s="9" t="n">
        <v>14</v>
      </c>
      <c r="B18" s="24" t="n">
        <f aca="false">INT(LEVEL_EXP_BASE*A18^LEVEL_EXP_EXP)</f>
        <v>6820</v>
      </c>
      <c r="C18" s="24" t="n">
        <f aca="false">C17+B18</f>
        <v>40191</v>
      </c>
    </row>
    <row r="19" customFormat="false" ht="15" hidden="false" customHeight="false" outlineLevel="0" collapsed="false">
      <c r="A19" s="9" t="n">
        <v>15</v>
      </c>
      <c r="B19" s="24" t="n">
        <f aca="false">INT(LEVEL_EXP_BASE*A19^LEVEL_EXP_EXP)</f>
        <v>7616</v>
      </c>
      <c r="C19" s="24" t="n">
        <f aca="false">C18+B19</f>
        <v>47807</v>
      </c>
    </row>
    <row r="20" customFormat="false" ht="15" hidden="false" customHeight="false" outlineLevel="0" collapsed="false">
      <c r="A20" s="9" t="n">
        <v>16</v>
      </c>
      <c r="B20" s="24" t="n">
        <f aca="false">INT(LEVEL_EXP_BASE*A20^LEVEL_EXP_EXP)</f>
        <v>8444</v>
      </c>
      <c r="C20" s="24" t="n">
        <f aca="false">C19+B20</f>
        <v>56251</v>
      </c>
    </row>
    <row r="21" customFormat="false" ht="15" hidden="false" customHeight="false" outlineLevel="0" collapsed="false">
      <c r="A21" s="9" t="n">
        <v>17</v>
      </c>
      <c r="B21" s="24" t="n">
        <f aca="false">INT(LEVEL_EXP_BASE*A21^LEVEL_EXP_EXP)</f>
        <v>9305</v>
      </c>
      <c r="C21" s="24" t="n">
        <f aca="false">C20+B21</f>
        <v>65556</v>
      </c>
    </row>
    <row r="22" customFormat="false" ht="15" hidden="false" customHeight="false" outlineLevel="0" collapsed="false">
      <c r="A22" s="9" t="n">
        <v>18</v>
      </c>
      <c r="B22" s="24" t="n">
        <f aca="false">INT(LEVEL_EXP_BASE*A22^LEVEL_EXP_EXP)</f>
        <v>10196</v>
      </c>
      <c r="C22" s="24" t="n">
        <f aca="false">C21+B22</f>
        <v>75752</v>
      </c>
    </row>
    <row r="23" customFormat="false" ht="15" hidden="false" customHeight="false" outlineLevel="0" collapsed="false">
      <c r="A23" s="9" t="n">
        <v>19</v>
      </c>
      <c r="B23" s="24" t="n">
        <f aca="false">INT(LEVEL_EXP_BASE*A23^LEVEL_EXP_EXP)</f>
        <v>11117</v>
      </c>
      <c r="C23" s="24" t="n">
        <f aca="false">C22+B23</f>
        <v>86869</v>
      </c>
    </row>
    <row r="24" customFormat="false" ht="15" hidden="false" customHeight="false" outlineLevel="0" collapsed="false">
      <c r="A24" s="9" t="n">
        <v>20</v>
      </c>
      <c r="B24" s="24" t="n">
        <f aca="false">INT(LEVEL_EXP_BASE*A24^LEVEL_EXP_EXP)</f>
        <v>12068</v>
      </c>
      <c r="C24" s="24" t="n">
        <f aca="false">C23+B24</f>
        <v>98937</v>
      </c>
    </row>
    <row r="25" customFormat="false" ht="15" hidden="false" customHeight="false" outlineLevel="0" collapsed="false">
      <c r="A25" s="9" t="n">
        <v>21</v>
      </c>
      <c r="B25" s="24" t="n">
        <f aca="false">INT(LEVEL_EXP_BASE*A25^LEVEL_EXP_EXP)</f>
        <v>13048</v>
      </c>
      <c r="C25" s="24" t="n">
        <f aca="false">C24+B25</f>
        <v>111985</v>
      </c>
    </row>
    <row r="26" customFormat="false" ht="15" hidden="false" customHeight="false" outlineLevel="0" collapsed="false">
      <c r="A26" s="9" t="n">
        <v>22</v>
      </c>
      <c r="B26" s="24" t="n">
        <f aca="false">INT(LEVEL_EXP_BASE*A26^LEVEL_EXP_EXP)</f>
        <v>14056</v>
      </c>
      <c r="C26" s="24" t="n">
        <f aca="false">C25+B26</f>
        <v>126041</v>
      </c>
    </row>
    <row r="27" customFormat="false" ht="15" hidden="false" customHeight="false" outlineLevel="0" collapsed="false">
      <c r="A27" s="9" t="n">
        <v>23</v>
      </c>
      <c r="B27" s="24" t="n">
        <f aca="false">INT(LEVEL_EXP_BASE*A27^LEVEL_EXP_EXP)</f>
        <v>15092</v>
      </c>
      <c r="C27" s="24" t="n">
        <f aca="false">C26+B27</f>
        <v>141133</v>
      </c>
    </row>
    <row r="28" customFormat="false" ht="15" hidden="false" customHeight="false" outlineLevel="0" collapsed="false">
      <c r="A28" s="9" t="n">
        <v>24</v>
      </c>
      <c r="B28" s="24" t="n">
        <f aca="false">INT(LEVEL_EXP_BASE*A28^LEVEL_EXP_EXP)</f>
        <v>16156</v>
      </c>
      <c r="C28" s="24" t="n">
        <f aca="false">C27+B28</f>
        <v>157289</v>
      </c>
    </row>
    <row r="29" customFormat="false" ht="15" hidden="false" customHeight="false" outlineLevel="0" collapsed="false">
      <c r="A29" s="9" t="n">
        <v>25</v>
      </c>
      <c r="B29" s="24" t="n">
        <f aca="false">INT(LEVEL_EXP_BASE*A29^LEVEL_EXP_EXP)</f>
        <v>17246</v>
      </c>
      <c r="C29" s="24" t="n">
        <f aca="false">C28+B29</f>
        <v>174535</v>
      </c>
    </row>
    <row r="30" customFormat="false" ht="15" hidden="false" customHeight="false" outlineLevel="0" collapsed="false">
      <c r="A30" s="9" t="n">
        <v>26</v>
      </c>
      <c r="B30" s="24" t="n">
        <f aca="false">INT(LEVEL_EXP_BASE*A30^LEVEL_EXP_EXP)</f>
        <v>18363</v>
      </c>
      <c r="C30" s="24" t="n">
        <f aca="false">C29+B30</f>
        <v>192898</v>
      </c>
    </row>
    <row r="31" customFormat="false" ht="15" hidden="false" customHeight="false" outlineLevel="0" collapsed="false">
      <c r="A31" s="9" t="n">
        <v>27</v>
      </c>
      <c r="B31" s="24" t="n">
        <f aca="false">INT(LEVEL_EXP_BASE*A31^LEVEL_EXP_EXP)</f>
        <v>19506</v>
      </c>
      <c r="C31" s="24" t="n">
        <f aca="false">C30+B31</f>
        <v>212404</v>
      </c>
    </row>
    <row r="32" customFormat="false" ht="15" hidden="false" customHeight="false" outlineLevel="0" collapsed="false">
      <c r="A32" s="9" t="n">
        <v>28</v>
      </c>
      <c r="B32" s="24" t="n">
        <f aca="false">INT(LEVEL_EXP_BASE*A32^LEVEL_EXP_EXP)</f>
        <v>20675</v>
      </c>
      <c r="C32" s="24" t="n">
        <f aca="false">C31+B32</f>
        <v>233079</v>
      </c>
    </row>
    <row r="33" customFormat="false" ht="15" hidden="false" customHeight="false" outlineLevel="0" collapsed="false">
      <c r="A33" s="9" t="n">
        <v>29</v>
      </c>
      <c r="B33" s="24" t="n">
        <f aca="false">INT(LEVEL_EXP_BASE*A33^LEVEL_EXP_EXP)</f>
        <v>21869</v>
      </c>
      <c r="C33" s="24" t="n">
        <f aca="false">C32+B33</f>
        <v>254948</v>
      </c>
    </row>
    <row r="34" customFormat="false" ht="15" hidden="false" customHeight="false" outlineLevel="0" collapsed="false">
      <c r="A34" s="9" t="n">
        <v>30</v>
      </c>
      <c r="B34" s="24" t="n">
        <f aca="false">INT(LEVEL_EXP_BASE*A34^LEVEL_EXP_EXP)</f>
        <v>23088</v>
      </c>
      <c r="C34" s="24" t="n">
        <f aca="false">C33+B34</f>
        <v>278036</v>
      </c>
    </row>
    <row r="35" customFormat="false" ht="15" hidden="false" customHeight="false" outlineLevel="0" collapsed="false">
      <c r="A35" s="9" t="n">
        <v>31</v>
      </c>
      <c r="B35" s="24" t="n">
        <f aca="false">INT(LEVEL_EXP_BASE*A35^LEVEL_EXP_EXP)</f>
        <v>24332</v>
      </c>
      <c r="C35" s="24" t="n">
        <f aca="false">C34+B35</f>
        <v>302368</v>
      </c>
    </row>
    <row r="36" customFormat="false" ht="15" hidden="false" customHeight="false" outlineLevel="0" collapsed="false">
      <c r="A36" s="9" t="n">
        <v>32</v>
      </c>
      <c r="B36" s="24" t="n">
        <f aca="false">INT(LEVEL_EXP_BASE*A36^LEVEL_EXP_EXP)</f>
        <v>25600</v>
      </c>
      <c r="C36" s="24" t="n">
        <f aca="false">C35+B36</f>
        <v>327968</v>
      </c>
    </row>
    <row r="37" customFormat="false" ht="15" hidden="false" customHeight="false" outlineLevel="0" collapsed="false">
      <c r="A37" s="9" t="n">
        <v>33</v>
      </c>
      <c r="B37" s="24" t="n">
        <f aca="false">INT(LEVEL_EXP_BASE*A37^LEVEL_EXP_EXP)</f>
        <v>26891</v>
      </c>
      <c r="C37" s="24" t="n">
        <f aca="false">C36+B37</f>
        <v>354859</v>
      </c>
    </row>
    <row r="38" customFormat="false" ht="15" hidden="false" customHeight="false" outlineLevel="0" collapsed="false">
      <c r="A38" s="9" t="n">
        <v>34</v>
      </c>
      <c r="B38" s="24" t="n">
        <f aca="false">INT(LEVEL_EXP_BASE*A38^LEVEL_EXP_EXP)</f>
        <v>28207</v>
      </c>
      <c r="C38" s="24" t="n">
        <f aca="false">C37+B38</f>
        <v>383066</v>
      </c>
    </row>
    <row r="39" customFormat="false" ht="15" hidden="false" customHeight="false" outlineLevel="0" collapsed="false">
      <c r="A39" s="9" t="n">
        <v>35</v>
      </c>
      <c r="B39" s="24" t="n">
        <f aca="false">INT(LEVEL_EXP_BASE*A39^LEVEL_EXP_EXP)</f>
        <v>29546</v>
      </c>
      <c r="C39" s="24" t="n">
        <f aca="false">C38+B39</f>
        <v>412612</v>
      </c>
    </row>
    <row r="40" customFormat="false" ht="15" hidden="false" customHeight="false" outlineLevel="0" collapsed="false">
      <c r="A40" s="9" t="n">
        <v>36</v>
      </c>
      <c r="B40" s="24" t="n">
        <f aca="false">INT(LEVEL_EXP_BASE*A40^LEVEL_EXP_EXP)</f>
        <v>30908</v>
      </c>
      <c r="C40" s="24" t="n">
        <f aca="false">C39+B40</f>
        <v>443520</v>
      </c>
    </row>
    <row r="41" customFormat="false" ht="15" hidden="false" customHeight="false" outlineLevel="0" collapsed="false">
      <c r="A41" s="9" t="n">
        <v>37</v>
      </c>
      <c r="B41" s="24" t="n">
        <f aca="false">INT(LEVEL_EXP_BASE*A41^LEVEL_EXP_EXP)</f>
        <v>32294</v>
      </c>
      <c r="C41" s="24" t="n">
        <f aca="false">C40+B41</f>
        <v>475814</v>
      </c>
    </row>
    <row r="42" customFormat="false" ht="15" hidden="false" customHeight="false" outlineLevel="0" collapsed="false">
      <c r="A42" s="9" t="n">
        <v>38</v>
      </c>
      <c r="B42" s="24" t="n">
        <f aca="false">INT(LEVEL_EXP_BASE*A42^LEVEL_EXP_EXP)</f>
        <v>33701</v>
      </c>
      <c r="C42" s="24" t="n">
        <f aca="false">C41+B42</f>
        <v>509515</v>
      </c>
    </row>
    <row r="43" customFormat="false" ht="15" hidden="false" customHeight="false" outlineLevel="0" collapsed="false">
      <c r="A43" s="9" t="n">
        <v>39</v>
      </c>
      <c r="B43" s="24" t="n">
        <f aca="false">INT(LEVEL_EXP_BASE*A43^LEVEL_EXP_EXP)</f>
        <v>35132</v>
      </c>
      <c r="C43" s="24" t="n">
        <f aca="false">C42+B43</f>
        <v>544647</v>
      </c>
    </row>
    <row r="44" customFormat="false" ht="15" hidden="false" customHeight="false" outlineLevel="0" collapsed="false">
      <c r="A44" s="9" t="n">
        <v>40</v>
      </c>
      <c r="B44" s="24" t="n">
        <f aca="false">INT(LEVEL_EXP_BASE*A44^LEVEL_EXP_EXP)</f>
        <v>36584</v>
      </c>
      <c r="C44" s="24" t="n">
        <f aca="false">C43+B44</f>
        <v>581231</v>
      </c>
    </row>
    <row r="45" customFormat="false" ht="15" hidden="false" customHeight="false" outlineLevel="0" collapsed="false">
      <c r="A45" s="9" t="n">
        <v>41</v>
      </c>
      <c r="B45" s="24" t="n">
        <f aca="false">INT(LEVEL_EXP_BASE*A45^LEVEL_EXP_EXP)</f>
        <v>38058</v>
      </c>
      <c r="C45" s="24" t="n">
        <f aca="false">C44+B45</f>
        <v>619289</v>
      </c>
    </row>
    <row r="46" customFormat="false" ht="15" hidden="false" customHeight="false" outlineLevel="0" collapsed="false">
      <c r="A46" s="9" t="n">
        <v>42</v>
      </c>
      <c r="B46" s="24" t="n">
        <f aca="false">INT(LEVEL_EXP_BASE*A46^LEVEL_EXP_EXP)</f>
        <v>39554</v>
      </c>
      <c r="C46" s="24" t="n">
        <f aca="false">C45+B46</f>
        <v>658843</v>
      </c>
    </row>
    <row r="47" customFormat="false" ht="15" hidden="false" customHeight="false" outlineLevel="0" collapsed="false">
      <c r="A47" s="9" t="n">
        <v>43</v>
      </c>
      <c r="B47" s="24" t="n">
        <f aca="false">INT(LEVEL_EXP_BASE*A47^LEVEL_EXP_EXP)</f>
        <v>41072</v>
      </c>
      <c r="C47" s="24" t="n">
        <f aca="false">C46+B47</f>
        <v>699915</v>
      </c>
    </row>
    <row r="48" customFormat="false" ht="15" hidden="false" customHeight="false" outlineLevel="0" collapsed="false">
      <c r="A48" s="9" t="n">
        <v>44</v>
      </c>
      <c r="B48" s="24" t="n">
        <f aca="false">INT(LEVEL_EXP_BASE*A48^LEVEL_EXP_EXP)</f>
        <v>42611</v>
      </c>
      <c r="C48" s="24" t="n">
        <f aca="false">C47+B48</f>
        <v>742526</v>
      </c>
    </row>
    <row r="49" customFormat="false" ht="15" hidden="false" customHeight="false" outlineLevel="0" collapsed="false">
      <c r="A49" s="9" t="n">
        <v>45</v>
      </c>
      <c r="B49" s="24" t="n">
        <f aca="false">INT(LEVEL_EXP_BASE*A49^LEVEL_EXP_EXP)</f>
        <v>44171</v>
      </c>
      <c r="C49" s="24" t="n">
        <f aca="false">C48+B49</f>
        <v>786697</v>
      </c>
    </row>
    <row r="50" customFormat="false" ht="15" hidden="false" customHeight="false" outlineLevel="0" collapsed="false">
      <c r="A50" s="9" t="n">
        <v>46</v>
      </c>
      <c r="B50" s="24" t="n">
        <f aca="false">INT(LEVEL_EXP_BASE*A50^LEVEL_EXP_EXP)</f>
        <v>45752</v>
      </c>
      <c r="C50" s="24" t="n">
        <f aca="false">C49+B50</f>
        <v>832449</v>
      </c>
    </row>
    <row r="51" customFormat="false" ht="15" hidden="false" customHeight="false" outlineLevel="0" collapsed="false">
      <c r="A51" s="9" t="n">
        <v>47</v>
      </c>
      <c r="B51" s="24" t="n">
        <f aca="false">INT(LEVEL_EXP_BASE*A51^LEVEL_EXP_EXP)</f>
        <v>47353</v>
      </c>
      <c r="C51" s="24" t="n">
        <f aca="false">C50+B51</f>
        <v>879802</v>
      </c>
    </row>
    <row r="52" customFormat="false" ht="15" hidden="false" customHeight="false" outlineLevel="0" collapsed="false">
      <c r="A52" s="9" t="n">
        <v>48</v>
      </c>
      <c r="B52" s="24" t="n">
        <f aca="false">INT(LEVEL_EXP_BASE*A52^LEVEL_EXP_EXP)</f>
        <v>48976</v>
      </c>
      <c r="C52" s="24" t="n">
        <f aca="false">C51+B52</f>
        <v>928778</v>
      </c>
    </row>
    <row r="53" customFormat="false" ht="15" hidden="false" customHeight="false" outlineLevel="0" collapsed="false">
      <c r="A53" s="9" t="n">
        <v>49</v>
      </c>
      <c r="B53" s="24" t="n">
        <f aca="false">INT(LEVEL_EXP_BASE*A53^LEVEL_EXP_EXP)</f>
        <v>50619</v>
      </c>
      <c r="C53" s="24" t="n">
        <f aca="false">C52+B53</f>
        <v>979397</v>
      </c>
    </row>
    <row r="54" customFormat="false" ht="15" hidden="false" customHeight="false" outlineLevel="0" collapsed="false">
      <c r="A54" s="9" t="n">
        <v>50</v>
      </c>
      <c r="B54" s="24" t="n">
        <f aca="false">INT(LEVEL_EXP_BASE*A54^LEVEL_EXP_EXP)</f>
        <v>52281</v>
      </c>
      <c r="C54" s="24" t="n">
        <f aca="false">C53+B54</f>
        <v>1031678</v>
      </c>
    </row>
    <row r="55" customFormat="false" ht="15" hidden="false" customHeight="false" outlineLevel="0" collapsed="false">
      <c r="A55" s="9" t="n">
        <v>51</v>
      </c>
      <c r="B55" s="24" t="n">
        <f aca="false">INT(LEVEL_EXP_BASE*A55^LEVEL_EXP_EXP)</f>
        <v>53965</v>
      </c>
      <c r="C55" s="24" t="n">
        <f aca="false">C54+B55</f>
        <v>1085643</v>
      </c>
    </row>
    <row r="56" customFormat="false" ht="15" hidden="false" customHeight="false" outlineLevel="0" collapsed="false">
      <c r="A56" s="9" t="n">
        <v>52</v>
      </c>
      <c r="B56" s="24" t="n">
        <f aca="false">INT(LEVEL_EXP_BASE*A56^LEVEL_EXP_EXP)</f>
        <v>55667</v>
      </c>
      <c r="C56" s="24" t="n">
        <f aca="false">C55+B56</f>
        <v>1141310</v>
      </c>
    </row>
    <row r="57" customFormat="false" ht="15" hidden="false" customHeight="false" outlineLevel="0" collapsed="false">
      <c r="A57" s="9" t="n">
        <v>53</v>
      </c>
      <c r="B57" s="24" t="n">
        <f aca="false">INT(LEVEL_EXP_BASE*A57^LEVEL_EXP_EXP)</f>
        <v>57390</v>
      </c>
      <c r="C57" s="24" t="n">
        <f aca="false">C56+B57</f>
        <v>1198700</v>
      </c>
    </row>
    <row r="58" customFormat="false" ht="15" hidden="false" customHeight="false" outlineLevel="0" collapsed="false">
      <c r="A58" s="9" t="n">
        <v>54</v>
      </c>
      <c r="B58" s="24" t="n">
        <f aca="false">INT(LEVEL_EXP_BASE*A58^LEVEL_EXP_EXP)</f>
        <v>59133</v>
      </c>
      <c r="C58" s="24" t="n">
        <f aca="false">C57+B58</f>
        <v>1257833</v>
      </c>
    </row>
    <row r="59" customFormat="false" ht="15" hidden="false" customHeight="false" outlineLevel="0" collapsed="false">
      <c r="A59" s="9" t="n">
        <v>55</v>
      </c>
      <c r="B59" s="24" t="n">
        <f aca="false">INT(LEVEL_EXP_BASE*A59^LEVEL_EXP_EXP)</f>
        <v>60894</v>
      </c>
      <c r="C59" s="24" t="n">
        <f aca="false">C58+B59</f>
        <v>1318727</v>
      </c>
    </row>
    <row r="60" customFormat="false" ht="15" hidden="false" customHeight="false" outlineLevel="0" collapsed="false">
      <c r="A60" s="9" t="n">
        <v>56</v>
      </c>
      <c r="B60" s="24" t="n">
        <f aca="false">INT(LEVEL_EXP_BASE*A60^LEVEL_EXP_EXP)</f>
        <v>62675</v>
      </c>
      <c r="C60" s="24" t="n">
        <f aca="false">C59+B60</f>
        <v>1381402</v>
      </c>
    </row>
    <row r="61" customFormat="false" ht="15" hidden="false" customHeight="false" outlineLevel="0" collapsed="false">
      <c r="A61" s="9" t="n">
        <v>57</v>
      </c>
      <c r="B61" s="24" t="n">
        <f aca="false">INT(LEVEL_EXP_BASE*A61^LEVEL_EXP_EXP)</f>
        <v>64476</v>
      </c>
      <c r="C61" s="24" t="n">
        <f aca="false">C60+B61</f>
        <v>1445878</v>
      </c>
    </row>
    <row r="62" customFormat="false" ht="15" hidden="false" customHeight="false" outlineLevel="0" collapsed="false">
      <c r="A62" s="9" t="n">
        <v>58</v>
      </c>
      <c r="B62" s="24" t="n">
        <f aca="false">INT(LEVEL_EXP_BASE*A62^LEVEL_EXP_EXP)</f>
        <v>66295</v>
      </c>
      <c r="C62" s="24" t="n">
        <f aca="false">C61+B62</f>
        <v>1512173</v>
      </c>
    </row>
    <row r="63" customFormat="false" ht="15" hidden="false" customHeight="false" outlineLevel="0" collapsed="false">
      <c r="A63" s="9" t="n">
        <v>59</v>
      </c>
      <c r="B63" s="24" t="n">
        <f aca="false">INT(LEVEL_EXP_BASE*A63^LEVEL_EXP_EXP)</f>
        <v>68133</v>
      </c>
      <c r="C63" s="24" t="n">
        <f aca="false">C62+B63</f>
        <v>1580306</v>
      </c>
    </row>
    <row r="64" customFormat="false" ht="15" hidden="false" customHeight="false" outlineLevel="0" collapsed="false">
      <c r="A64" s="9" t="n">
        <v>60</v>
      </c>
      <c r="B64" s="24" t="n">
        <f aca="false">INT(LEVEL_EXP_BASE*A64^LEVEL_EXP_EXP)</f>
        <v>69990</v>
      </c>
      <c r="C64" s="24" t="n">
        <f aca="false">C63+B64</f>
        <v>1650296</v>
      </c>
    </row>
    <row r="65" customFormat="false" ht="15" hidden="false" customHeight="false" outlineLevel="0" collapsed="false">
      <c r="A65" s="9" t="n">
        <v>61</v>
      </c>
      <c r="B65" s="24" t="n">
        <f aca="false">INT(LEVEL_EXP_BASE*A65^LEVEL_EXP_EXP)</f>
        <v>71866</v>
      </c>
      <c r="C65" s="24" t="n">
        <f aca="false">C64+B65</f>
        <v>1722162</v>
      </c>
    </row>
    <row r="66" customFormat="false" ht="15" hidden="false" customHeight="false" outlineLevel="0" collapsed="false">
      <c r="A66" s="9" t="n">
        <v>62</v>
      </c>
      <c r="B66" s="24" t="n">
        <f aca="false">INT(LEVEL_EXP_BASE*A66^LEVEL_EXP_EXP)</f>
        <v>73760</v>
      </c>
      <c r="C66" s="24" t="n">
        <f aca="false">C65+B66</f>
        <v>1795922</v>
      </c>
    </row>
    <row r="67" customFormat="false" ht="15" hidden="false" customHeight="false" outlineLevel="0" collapsed="false">
      <c r="A67" s="9" t="n">
        <v>63</v>
      </c>
      <c r="B67" s="24" t="n">
        <f aca="false">INT(LEVEL_EXP_BASE*A67^LEVEL_EXP_EXP)</f>
        <v>75673</v>
      </c>
      <c r="C67" s="24" t="n">
        <f aca="false">C66+B67</f>
        <v>1871595</v>
      </c>
    </row>
    <row r="68" customFormat="false" ht="15" hidden="false" customHeight="false" outlineLevel="0" collapsed="false">
      <c r="A68" s="9" t="n">
        <v>64</v>
      </c>
      <c r="B68" s="24" t="n">
        <f aca="false">INT(LEVEL_EXP_BASE*A68^LEVEL_EXP_EXP)</f>
        <v>77604</v>
      </c>
      <c r="C68" s="24" t="n">
        <f aca="false">C67+B68</f>
        <v>1949199</v>
      </c>
    </row>
    <row r="69" customFormat="false" ht="15" hidden="false" customHeight="false" outlineLevel="0" collapsed="false">
      <c r="A69" s="9" t="n">
        <v>65</v>
      </c>
      <c r="B69" s="24" t="n">
        <f aca="false">INT(LEVEL_EXP_BASE*A69^LEVEL_EXP_EXP)</f>
        <v>79553</v>
      </c>
      <c r="C69" s="24" t="n">
        <f aca="false">C68+B69</f>
        <v>2028752</v>
      </c>
    </row>
    <row r="70" customFormat="false" ht="15" hidden="false" customHeight="false" outlineLevel="0" collapsed="false">
      <c r="A70" s="9" t="n">
        <v>66</v>
      </c>
      <c r="B70" s="24" t="n">
        <f aca="false">INT(LEVEL_EXP_BASE*A70^LEVEL_EXP_EXP)</f>
        <v>81521</v>
      </c>
      <c r="C70" s="24" t="n">
        <f aca="false">C69+B70</f>
        <v>2110273</v>
      </c>
    </row>
    <row r="71" customFormat="false" ht="15" hidden="false" customHeight="false" outlineLevel="0" collapsed="false">
      <c r="A71" s="9" t="n">
        <v>67</v>
      </c>
      <c r="B71" s="24" t="n">
        <f aca="false">INT(LEVEL_EXP_BASE*A71^LEVEL_EXP_EXP)</f>
        <v>83506</v>
      </c>
      <c r="C71" s="24" t="n">
        <f aca="false">C70+B71</f>
        <v>2193779</v>
      </c>
    </row>
    <row r="72" customFormat="false" ht="15" hidden="false" customHeight="false" outlineLevel="0" collapsed="false">
      <c r="A72" s="9" t="n">
        <v>68</v>
      </c>
      <c r="B72" s="24" t="n">
        <f aca="false">INT(LEVEL_EXP_BASE*A72^LEVEL_EXP_EXP)</f>
        <v>85509</v>
      </c>
      <c r="C72" s="24" t="n">
        <f aca="false">C71+B72</f>
        <v>2279288</v>
      </c>
    </row>
    <row r="73" customFormat="false" ht="15" hidden="false" customHeight="false" outlineLevel="0" collapsed="false">
      <c r="A73" s="9" t="n">
        <v>69</v>
      </c>
      <c r="B73" s="24" t="n">
        <f aca="false">INT(LEVEL_EXP_BASE*A73^LEVEL_EXP_EXP)</f>
        <v>87530</v>
      </c>
      <c r="C73" s="24" t="n">
        <f aca="false">C72+B73</f>
        <v>2366818</v>
      </c>
    </row>
    <row r="74" customFormat="false" ht="15" hidden="false" customHeight="false" outlineLevel="0" collapsed="false">
      <c r="A74" s="9" t="n">
        <v>70</v>
      </c>
      <c r="B74" s="24" t="n">
        <f aca="false">INT(LEVEL_EXP_BASE*A74^LEVEL_EXP_EXP)</f>
        <v>89568</v>
      </c>
      <c r="C74" s="24" t="n">
        <f aca="false">C73+B74</f>
        <v>2456386</v>
      </c>
    </row>
    <row r="75" customFormat="false" ht="15" hidden="false" customHeight="false" outlineLevel="0" collapsed="false">
      <c r="A75" s="9" t="n">
        <v>71</v>
      </c>
      <c r="B75" s="24" t="n">
        <f aca="false">INT(LEVEL_EXP_BASE*A75^LEVEL_EXP_EXP)</f>
        <v>91624</v>
      </c>
      <c r="C75" s="24" t="n">
        <f aca="false">C74+B75</f>
        <v>2548010</v>
      </c>
    </row>
    <row r="76" customFormat="false" ht="15" hidden="false" customHeight="false" outlineLevel="0" collapsed="false">
      <c r="A76" s="9" t="n">
        <v>72</v>
      </c>
      <c r="B76" s="24" t="n">
        <f aca="false">INT(LEVEL_EXP_BASE*A76^LEVEL_EXP_EXP)</f>
        <v>93698</v>
      </c>
      <c r="C76" s="24" t="n">
        <f aca="false">C75+B76</f>
        <v>2641708</v>
      </c>
    </row>
    <row r="77" customFormat="false" ht="15" hidden="false" customHeight="false" outlineLevel="0" collapsed="false">
      <c r="A77" s="9" t="n">
        <v>73</v>
      </c>
      <c r="B77" s="24" t="n">
        <f aca="false">INT(LEVEL_EXP_BASE*A77^LEVEL_EXP_EXP)</f>
        <v>95789</v>
      </c>
      <c r="C77" s="24" t="n">
        <f aca="false">C76+B77</f>
        <v>2737497</v>
      </c>
    </row>
    <row r="78" customFormat="false" ht="15" hidden="false" customHeight="false" outlineLevel="0" collapsed="false">
      <c r="A78" s="9" t="n">
        <v>74</v>
      </c>
      <c r="B78" s="24" t="n">
        <f aca="false">INT(LEVEL_EXP_BASE*A78^LEVEL_EXP_EXP)</f>
        <v>97897</v>
      </c>
      <c r="C78" s="24" t="n">
        <f aca="false">C77+B78</f>
        <v>2835394</v>
      </c>
    </row>
    <row r="79" customFormat="false" ht="15" hidden="false" customHeight="false" outlineLevel="0" collapsed="false">
      <c r="A79" s="9" t="n">
        <v>75</v>
      </c>
      <c r="B79" s="24" t="n">
        <f aca="false">INT(LEVEL_EXP_BASE*A79^LEVEL_EXP_EXP)</f>
        <v>100022</v>
      </c>
      <c r="C79" s="24" t="n">
        <f aca="false">C78+B79</f>
        <v>2935416</v>
      </c>
    </row>
    <row r="80" customFormat="false" ht="15" hidden="false" customHeight="false" outlineLevel="0" collapsed="false">
      <c r="A80" s="9" t="n">
        <v>76</v>
      </c>
      <c r="B80" s="24" t="n">
        <f aca="false">INT(LEVEL_EXP_BASE*A80^LEVEL_EXP_EXP)</f>
        <v>102164</v>
      </c>
      <c r="C80" s="24" t="n">
        <f aca="false">C79+B80</f>
        <v>3037580</v>
      </c>
    </row>
    <row r="81" customFormat="false" ht="15" hidden="false" customHeight="false" outlineLevel="0" collapsed="false">
      <c r="A81" s="9" t="n">
        <v>77</v>
      </c>
      <c r="B81" s="24" t="n">
        <f aca="false">INT(LEVEL_EXP_BASE*A81^LEVEL_EXP_EXP)</f>
        <v>104324</v>
      </c>
      <c r="C81" s="24" t="n">
        <f aca="false">C80+B81</f>
        <v>3141904</v>
      </c>
    </row>
    <row r="82" customFormat="false" ht="15" hidden="false" customHeight="false" outlineLevel="0" collapsed="false">
      <c r="A82" s="9" t="n">
        <v>78</v>
      </c>
      <c r="B82" s="24" t="n">
        <f aca="false">INT(LEVEL_EXP_BASE*A82^LEVEL_EXP_EXP)</f>
        <v>106500</v>
      </c>
      <c r="C82" s="24" t="n">
        <f aca="false">C81+B82</f>
        <v>3248404</v>
      </c>
    </row>
    <row r="83" customFormat="false" ht="15" hidden="false" customHeight="false" outlineLevel="0" collapsed="false">
      <c r="A83" s="9" t="n">
        <v>79</v>
      </c>
      <c r="B83" s="24" t="n">
        <f aca="false">INT(LEVEL_EXP_BASE*A83^LEVEL_EXP_EXP)</f>
        <v>108693</v>
      </c>
      <c r="C83" s="24" t="n">
        <f aca="false">C82+B83</f>
        <v>3357097</v>
      </c>
    </row>
    <row r="84" customFormat="false" ht="15" hidden="false" customHeight="false" outlineLevel="0" collapsed="false">
      <c r="A84" s="9" t="n">
        <v>80</v>
      </c>
      <c r="B84" s="24" t="n">
        <f aca="false">INT(LEVEL_EXP_BASE*A84^LEVEL_EXP_EXP)</f>
        <v>110903</v>
      </c>
      <c r="C84" s="24" t="n">
        <f aca="false">C83+B84</f>
        <v>3468000</v>
      </c>
    </row>
    <row r="85" customFormat="false" ht="15" hidden="false" customHeight="false" outlineLevel="0" collapsed="false">
      <c r="A85" s="9" t="n">
        <v>81</v>
      </c>
      <c r="B85" s="24" t="n">
        <f aca="false">INT(LEVEL_EXP_BASE*A85^LEVEL_EXP_EXP)</f>
        <v>113129</v>
      </c>
      <c r="C85" s="24" t="n">
        <f aca="false">C84+B85</f>
        <v>3581129</v>
      </c>
    </row>
    <row r="86" customFormat="false" ht="15" hidden="false" customHeight="false" outlineLevel="0" collapsed="false">
      <c r="A86" s="9" t="n">
        <v>82</v>
      </c>
      <c r="B86" s="24" t="n">
        <f aca="false">INT(LEVEL_EXP_BASE*A86^LEVEL_EXP_EXP)</f>
        <v>115372</v>
      </c>
      <c r="C86" s="24" t="n">
        <f aca="false">C85+B86</f>
        <v>3696501</v>
      </c>
    </row>
    <row r="87" customFormat="false" ht="15" hidden="false" customHeight="false" outlineLevel="0" collapsed="false">
      <c r="A87" s="9" t="n">
        <v>83</v>
      </c>
      <c r="B87" s="24" t="n">
        <f aca="false">INT(LEVEL_EXP_BASE*A87^LEVEL_EXP_EXP)</f>
        <v>117631</v>
      </c>
      <c r="C87" s="24" t="n">
        <f aca="false">C86+B87</f>
        <v>3814132</v>
      </c>
    </row>
    <row r="88" customFormat="false" ht="15" hidden="false" customHeight="false" outlineLevel="0" collapsed="false">
      <c r="A88" s="9" t="n">
        <v>84</v>
      </c>
      <c r="B88" s="24" t="n">
        <f aca="false">INT(LEVEL_EXP_BASE*A88^LEVEL_EXP_EXP)</f>
        <v>119907</v>
      </c>
      <c r="C88" s="24" t="n">
        <f aca="false">C87+B88</f>
        <v>3934039</v>
      </c>
    </row>
    <row r="89" customFormat="false" ht="15" hidden="false" customHeight="false" outlineLevel="0" collapsed="false">
      <c r="A89" s="9" t="n">
        <v>85</v>
      </c>
      <c r="B89" s="24" t="n">
        <f aca="false">INT(LEVEL_EXP_BASE*A89^LEVEL_EXP_EXP)</f>
        <v>122199</v>
      </c>
      <c r="C89" s="24" t="n">
        <f aca="false">C88+B89</f>
        <v>4056238</v>
      </c>
    </row>
    <row r="90" customFormat="false" ht="15" hidden="false" customHeight="false" outlineLevel="0" collapsed="false">
      <c r="A90" s="9" t="n">
        <v>86</v>
      </c>
      <c r="B90" s="24" t="n">
        <f aca="false">INT(LEVEL_EXP_BASE*A90^LEVEL_EXP_EXP)</f>
        <v>124508</v>
      </c>
      <c r="C90" s="24" t="n">
        <f aca="false">C89+B90</f>
        <v>4180746</v>
      </c>
    </row>
    <row r="91" customFormat="false" ht="15" hidden="false" customHeight="false" outlineLevel="0" collapsed="false">
      <c r="A91" s="9" t="n">
        <v>87</v>
      </c>
      <c r="B91" s="24" t="n">
        <f aca="false">INT(LEVEL_EXP_BASE*A91^LEVEL_EXP_EXP)</f>
        <v>126832</v>
      </c>
      <c r="C91" s="24" t="n">
        <f aca="false">C90+B91</f>
        <v>4307578</v>
      </c>
    </row>
    <row r="92" customFormat="false" ht="15" hidden="false" customHeight="false" outlineLevel="0" collapsed="false">
      <c r="A92" s="9" t="n">
        <v>88</v>
      </c>
      <c r="B92" s="24" t="n">
        <f aca="false">INT(LEVEL_EXP_BASE*A92^LEVEL_EXP_EXP)</f>
        <v>129173</v>
      </c>
      <c r="C92" s="24" t="n">
        <f aca="false">C91+B92</f>
        <v>4436751</v>
      </c>
    </row>
    <row r="93" customFormat="false" ht="15" hidden="false" customHeight="false" outlineLevel="0" collapsed="false">
      <c r="A93" s="9" t="n">
        <v>89</v>
      </c>
      <c r="B93" s="24" t="n">
        <f aca="false">INT(LEVEL_EXP_BASE*A93^LEVEL_EXP_EXP)</f>
        <v>131529</v>
      </c>
      <c r="C93" s="24" t="n">
        <f aca="false">C92+B93</f>
        <v>4568280</v>
      </c>
    </row>
    <row r="94" customFormat="false" ht="15" hidden="false" customHeight="false" outlineLevel="0" collapsed="false">
      <c r="A94" s="9" t="n">
        <v>90</v>
      </c>
      <c r="B94" s="24" t="n">
        <f aca="false">INT(LEVEL_EXP_BASE*A94^LEVEL_EXP_EXP)</f>
        <v>133902</v>
      </c>
      <c r="C94" s="24" t="n">
        <f aca="false">C93+B94</f>
        <v>4702182</v>
      </c>
    </row>
    <row r="95" customFormat="false" ht="15" hidden="false" customHeight="false" outlineLevel="0" collapsed="false">
      <c r="A95" s="9" t="n">
        <v>91</v>
      </c>
      <c r="B95" s="24" t="n">
        <f aca="false">INT(LEVEL_EXP_BASE*A95^LEVEL_EXP_EXP)</f>
        <v>136290</v>
      </c>
      <c r="C95" s="24" t="n">
        <f aca="false">C94+B95</f>
        <v>4838472</v>
      </c>
    </row>
    <row r="96" customFormat="false" ht="15" hidden="false" customHeight="false" outlineLevel="0" collapsed="false">
      <c r="A96" s="9" t="n">
        <v>92</v>
      </c>
      <c r="B96" s="24" t="n">
        <f aca="false">INT(LEVEL_EXP_BASE*A96^LEVEL_EXP_EXP)</f>
        <v>138694</v>
      </c>
      <c r="C96" s="24" t="n">
        <f aca="false">C95+B96</f>
        <v>4977166</v>
      </c>
    </row>
    <row r="97" customFormat="false" ht="15" hidden="false" customHeight="false" outlineLevel="0" collapsed="false">
      <c r="A97" s="9" t="n">
        <v>93</v>
      </c>
      <c r="B97" s="24" t="n">
        <f aca="false">INT(LEVEL_EXP_BASE*A97^LEVEL_EXP_EXP)</f>
        <v>141114</v>
      </c>
      <c r="C97" s="24" t="n">
        <f aca="false">C96+B97</f>
        <v>5118280</v>
      </c>
    </row>
    <row r="98" customFormat="false" ht="15" hidden="false" customHeight="false" outlineLevel="0" collapsed="false">
      <c r="A98" s="9" t="n">
        <v>94</v>
      </c>
      <c r="B98" s="24" t="n">
        <f aca="false">INT(LEVEL_EXP_BASE*A98^LEVEL_EXP_EXP)</f>
        <v>143550</v>
      </c>
      <c r="C98" s="24" t="n">
        <f aca="false">C97+B98</f>
        <v>5261830</v>
      </c>
    </row>
    <row r="99" customFormat="false" ht="15" hidden="false" customHeight="false" outlineLevel="0" collapsed="false">
      <c r="A99" s="9" t="n">
        <v>95</v>
      </c>
      <c r="B99" s="24" t="n">
        <f aca="false">INT(LEVEL_EXP_BASE*A99^LEVEL_EXP_EXP)</f>
        <v>146001</v>
      </c>
      <c r="C99" s="24" t="n">
        <f aca="false">C98+B99</f>
        <v>5407831</v>
      </c>
    </row>
    <row r="100" customFormat="false" ht="15" hidden="false" customHeight="false" outlineLevel="0" collapsed="false">
      <c r="A100" s="9" t="n">
        <v>96</v>
      </c>
      <c r="B100" s="24" t="n">
        <f aca="false">INT(LEVEL_EXP_BASE*A100^LEVEL_EXP_EXP)</f>
        <v>148468</v>
      </c>
      <c r="C100" s="24" t="n">
        <f aca="false">C99+B100</f>
        <v>5556299</v>
      </c>
    </row>
    <row r="101" customFormat="false" ht="15" hidden="false" customHeight="false" outlineLevel="0" collapsed="false">
      <c r="A101" s="9" t="n">
        <v>97</v>
      </c>
      <c r="B101" s="24" t="n">
        <f aca="false">INT(LEVEL_EXP_BASE*A101^LEVEL_EXP_EXP)</f>
        <v>150950</v>
      </c>
      <c r="C101" s="24" t="n">
        <f aca="false">C100+B101</f>
        <v>5707249</v>
      </c>
    </row>
    <row r="102" customFormat="false" ht="15" hidden="false" customHeight="false" outlineLevel="0" collapsed="false">
      <c r="A102" s="9" t="n">
        <v>98</v>
      </c>
      <c r="B102" s="24" t="n">
        <f aca="false">INT(LEVEL_EXP_BASE*A102^LEVEL_EXP_EXP)</f>
        <v>153448</v>
      </c>
      <c r="C102" s="24" t="n">
        <f aca="false">C101+B102</f>
        <v>5860697</v>
      </c>
    </row>
    <row r="103" customFormat="false" ht="15" hidden="false" customHeight="false" outlineLevel="0" collapsed="false">
      <c r="A103" s="9" t="n">
        <v>99</v>
      </c>
      <c r="B103" s="24" t="n">
        <f aca="false">INT(LEVEL_EXP_BASE*A103^LEVEL_EXP_EXP)</f>
        <v>155961</v>
      </c>
      <c r="C103" s="24" t="n">
        <f aca="false">C102+B103</f>
        <v>6016658</v>
      </c>
    </row>
    <row r="104" customFormat="false" ht="15" hidden="false" customHeight="false" outlineLevel="0" collapsed="false">
      <c r="A104" s="9" t="n">
        <v>100</v>
      </c>
      <c r="B104" s="24" t="n">
        <f aca="false">INT(LEVEL_EXP_BASE*A104^LEVEL_EXP_EXP)</f>
        <v>158489</v>
      </c>
      <c r="C104" s="24" t="n">
        <f aca="false">C103+B104</f>
        <v>6175147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2026-10-07T02:17:28Z</dcterms:created>
  <dc:creator>openpyxl</dc:creator>
  <dc:description/>
  <dc:language>en-US</dc:language>
  <cp:lastModifiedBy/>
  <dcterms:modified xsi:type="dcterms:W3CDTF">2026-10-06T19:17:30Z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